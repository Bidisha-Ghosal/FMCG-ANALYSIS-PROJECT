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FMCG_DATASET\"/>
    </mc:Choice>
  </mc:AlternateContent>
  <xr:revisionPtr revIDLastSave="0" documentId="13_ncr:1_{C317128E-A852-4F21-B159-146A5AC8A1B3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Index" sheetId="1" r:id="rId1"/>
    <sheet name="Peer_Summary" sheetId="2" r:id="rId2"/>
    <sheet name="ITC_Financials" sheetId="3" r:id="rId3"/>
    <sheet name="Nestle_Financials" sheetId="4" r:id="rId4"/>
    <sheet name="HUL_Financials" sheetId="5" r:id="rId5"/>
    <sheet name="Dabur_Financials" sheetId="6" r:id="rId6"/>
    <sheet name="Segment_Analysis" sheetId="7" r:id="rId7"/>
    <sheet name="Key_Rati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7" l="1"/>
  <c r="D31" i="7"/>
  <c r="D30" i="7"/>
  <c r="D29" i="7"/>
  <c r="D28" i="7"/>
  <c r="D27" i="7"/>
  <c r="D26" i="7"/>
  <c r="D24" i="7"/>
  <c r="D23" i="7"/>
  <c r="D22" i="7"/>
  <c r="D21" i="7"/>
  <c r="D20" i="7"/>
  <c r="D19" i="7"/>
  <c r="D17" i="7"/>
  <c r="D16" i="7"/>
  <c r="D15" i="7"/>
  <c r="D14" i="7"/>
  <c r="D13" i="7"/>
  <c r="D11" i="7"/>
  <c r="D9" i="7"/>
  <c r="D8" i="7"/>
  <c r="D7" i="7"/>
  <c r="D6" i="7"/>
  <c r="D5" i="7"/>
  <c r="D4" i="7"/>
</calcChain>
</file>

<file path=xl/sharedStrings.xml><?xml version="1.0" encoding="utf-8"?>
<sst xmlns="http://schemas.openxmlformats.org/spreadsheetml/2006/main" count="461" uniqueCount="279">
  <si>
    <t>🏭  INDIAN FMCG SECTOR ─ FINANCIAL DATA DASHBOARD</t>
  </si>
  <si>
    <t>Source: Annual Reports FY 2021-22  |  Currency: ₹ in Crores (unless noted)</t>
  </si>
  <si>
    <t>1. Index</t>
  </si>
  <si>
    <t>This sheet – overview and guide</t>
  </si>
  <si>
    <t>2. Peer_Summary</t>
  </si>
  <si>
    <t>Side-by-side comparison of all 4 companies</t>
  </si>
  <si>
    <t>3. ITC_Financials</t>
  </si>
  <si>
    <t>ITC Ltd – P&amp;L, Balance Sheet, Cash Flow, Segments</t>
  </si>
  <si>
    <t>4. Nestle_Financials</t>
  </si>
  <si>
    <t>Nestlé India – P&amp;L, Balance Sheet, 10-Year Highlights</t>
  </si>
  <si>
    <t>5. HUL_Financials</t>
  </si>
  <si>
    <t>Hindustan Unilever – P&amp;L, Balance Sheet, Key Ratios</t>
  </si>
  <si>
    <t>6. Dabur_Financials</t>
  </si>
  <si>
    <t>Dabur India – P&amp;L, Balance Sheet, Key Ratios</t>
  </si>
  <si>
    <t>7. Segment_Analysis</t>
  </si>
  <si>
    <t>Segment-wise revenue breakdown across companies</t>
  </si>
  <si>
    <t>8. Key_Ratios</t>
  </si>
  <si>
    <t>Profitability, liquidity &amp; efficiency ratios</t>
  </si>
  <si>
    <t>INDIAN FMCG SECTOR ─ PEER COMPARISON  |  FY 2021-22  |  ₹ in Crores</t>
  </si>
  <si>
    <t>Metric</t>
  </si>
  <si>
    <t>ITC Ltd</t>
  </si>
  <si>
    <t>Nestlé India*</t>
  </si>
  <si>
    <t>HUL</t>
  </si>
  <si>
    <t>Dabur India</t>
  </si>
  <si>
    <t>Notes</t>
  </si>
  <si>
    <t>── INCOME STATEMENT ──────────────────────</t>
  </si>
  <si>
    <t>Revenue from Operations (₹ Cr)</t>
  </si>
  <si>
    <t>Net of excise/GST</t>
  </si>
  <si>
    <t>YoY Revenue Growth (%)</t>
  </si>
  <si>
    <t>Approx. from reports</t>
  </si>
  <si>
    <t>Gross Revenue / Total Income (₹ Cr)</t>
  </si>
  <si>
    <t>Incl. other income</t>
  </si>
  <si>
    <t>EBITDA (₹ Cr)</t>
  </si>
  <si>
    <t>Operating profit level</t>
  </si>
  <si>
    <t>EBITDA Margin (%)</t>
  </si>
  <si>
    <t>EBITDA / Revenue</t>
  </si>
  <si>
    <t>Profit Before Tax (₹ Cr)</t>
  </si>
  <si>
    <t>Profit After Tax (₹ Cr)</t>
  </si>
  <si>
    <t>PAT Margin (%)</t>
  </si>
  <si>
    <t>PAT / Revenue</t>
  </si>
  <si>
    <t>EPS (₹)</t>
  </si>
  <si>
    <t>Basic EPS</t>
  </si>
  <si>
    <t>── BALANCE SHEET ──────────────────────────</t>
  </si>
  <si>
    <t>Total Assets (₹ Cr)</t>
  </si>
  <si>
    <t>Total Equity (₹ Cr)</t>
  </si>
  <si>
    <t>Inventories (₹ Cr)</t>
  </si>
  <si>
    <t>Trade Receivables (₹ Cr)</t>
  </si>
  <si>
    <t>Cash &amp; Equivalents (₹ Cr)</t>
  </si>
  <si>
    <t>Total Debt / Borrowings (₹ Cr)</t>
  </si>
  <si>
    <t>Short+Long term</t>
  </si>
  <si>
    <t>── CASH FLOW ──────────────────────────────</t>
  </si>
  <si>
    <t>Net Cash from Operations (₹ Cr)</t>
  </si>
  <si>
    <t>Capital Expenditure (₹ Cr)</t>
  </si>
  <si>
    <t>Approx</t>
  </si>
  <si>
    <t>── KEY RATIOS ─────────────────────────────</t>
  </si>
  <si>
    <t>Return on Equity (%)</t>
  </si>
  <si>
    <t>PAT / Avg Equity</t>
  </si>
  <si>
    <t>Debt-to-Equity Ratio</t>
  </si>
  <si>
    <t>Total Debt / Equity</t>
  </si>
  <si>
    <t>Current Ratio</t>
  </si>
  <si>
    <t>Current Assets / Current Liab</t>
  </si>
  <si>
    <t xml:space="preserve">  ITC FINANCIALS  ─  Financial Statements Extract</t>
  </si>
  <si>
    <t xml:space="preserve">  STANDALONE PROFIT &amp; LOSS  (₹ in Crores)  |  FY Ending 31 March</t>
  </si>
  <si>
    <t>Particulars</t>
  </si>
  <si>
    <t>FY 2021-22</t>
  </si>
  <si>
    <t>FY 2020-21</t>
  </si>
  <si>
    <t>Revenue from operations</t>
  </si>
  <si>
    <t xml:space="preserve">  Gross Revenue (products &amp; services)</t>
  </si>
  <si>
    <t xml:space="preserve">  Other operating revenue</t>
  </si>
  <si>
    <t>Other Income</t>
  </si>
  <si>
    <t>TOTAL INCOME</t>
  </si>
  <si>
    <t>── EXPENSES ──────────────────────────</t>
  </si>
  <si>
    <t xml:space="preserve">  Cost of materials consumed</t>
  </si>
  <si>
    <t xml:space="preserve">  Purchases of Stock-in-Trade</t>
  </si>
  <si>
    <t xml:space="preserve">  Changes in inventories</t>
  </si>
  <si>
    <t xml:space="preserve">  Excise duty</t>
  </si>
  <si>
    <t xml:space="preserve">  Employee benefits expense</t>
  </si>
  <si>
    <t xml:space="preserve">  Finance costs</t>
  </si>
  <si>
    <t xml:space="preserve">  Depreciation &amp; amortization</t>
  </si>
  <si>
    <t xml:space="preserve">  Other expenses</t>
  </si>
  <si>
    <t>TOTAL EXPENSES</t>
  </si>
  <si>
    <t>PROFIT BEFORE TAX</t>
  </si>
  <si>
    <t xml:space="preserve">  Tax expense</t>
  </si>
  <si>
    <t>PROFIT FOR THE PERIOD</t>
  </si>
  <si>
    <t>TOTAL COMPREHENSIVE INCOME</t>
  </si>
  <si>
    <t>Basic EPS (₹)</t>
  </si>
  <si>
    <t xml:space="preserve">  STANDALONE BALANCE SHEET  (₹ in Crores)  |  As at 31 March</t>
  </si>
  <si>
    <t>── NON-CURRENT ASSETS ─────────────────</t>
  </si>
  <si>
    <t xml:space="preserve">  Property, Plant &amp; Equipment</t>
  </si>
  <si>
    <t xml:space="preserve">  Capital work-in-progress</t>
  </si>
  <si>
    <t xml:space="preserve">  Goodwill</t>
  </si>
  <si>
    <t xml:space="preserve">  Other Intangible assets</t>
  </si>
  <si>
    <t xml:space="preserve">  Financial Assets – Investments</t>
  </si>
  <si>
    <t xml:space="preserve">  Other non-current assets</t>
  </si>
  <si>
    <t>Total Non-current Assets</t>
  </si>
  <si>
    <t>── CURRENT ASSETS ─────────────────────</t>
  </si>
  <si>
    <t xml:space="preserve">  Inventories</t>
  </si>
  <si>
    <t xml:space="preserve">  Trade receivables</t>
  </si>
  <si>
    <t xml:space="preserve">  Cash &amp; cash equivalents</t>
  </si>
  <si>
    <t xml:space="preserve">  Other bank balances</t>
  </si>
  <si>
    <t xml:space="preserve">  Financial Investments (current)</t>
  </si>
  <si>
    <t xml:space="preserve">  Other current assets</t>
  </si>
  <si>
    <t>Total Current Assets</t>
  </si>
  <si>
    <t>TOTAL ASSETS</t>
  </si>
  <si>
    <t>── EQUITY ──────────────────────────────</t>
  </si>
  <si>
    <t xml:space="preserve">  Equity Share Capital</t>
  </si>
  <si>
    <t xml:space="preserve">  Other Equity</t>
  </si>
  <si>
    <t>Total Equity</t>
  </si>
  <si>
    <t>── LIABILITIES ─────────────────────────</t>
  </si>
  <si>
    <t xml:space="preserve">  Non-current liabilities</t>
  </si>
  <si>
    <t xml:space="preserve">  Current liabilities</t>
  </si>
  <si>
    <t>TOTAL EQUITY &amp; LIABILITIES</t>
  </si>
  <si>
    <t xml:space="preserve">  STANDALONE CASH FLOW  (₹ in Crores)  |  FY Ending 31 March</t>
  </si>
  <si>
    <t>Net Cash from OPERATING Activities</t>
  </si>
  <si>
    <t xml:space="preserve">  Profit Before Tax</t>
  </si>
  <si>
    <t xml:space="preserve">  Working capital changes</t>
  </si>
  <si>
    <t xml:space="preserve">  Income tax paid</t>
  </si>
  <si>
    <t>Net Cash from INVESTING Activities</t>
  </si>
  <si>
    <t xml:space="preserve">  Capex (PP&amp;E, Intangibles, ROU)</t>
  </si>
  <si>
    <t>Net Cash from FINANCING Activities</t>
  </si>
  <si>
    <t xml:space="preserve">  Dividend paid</t>
  </si>
  <si>
    <t>NET CHANGE IN CASH</t>
  </si>
  <si>
    <t xml:space="preserve">  SEGMENT-WISE REVENUE  (₹ in Crores)  |  Standalone, FY Ending 31 March</t>
  </si>
  <si>
    <t>FMCG – Cigarettes</t>
  </si>
  <si>
    <t>FMCG – Others</t>
  </si>
  <si>
    <t>Total FMCG</t>
  </si>
  <si>
    <t>Hotels</t>
  </si>
  <si>
    <t>Agri Business</t>
  </si>
  <si>
    <t>Paperboards, Paper &amp; Pkg</t>
  </si>
  <si>
    <t>Less: Inter-segment revenue</t>
  </si>
  <si>
    <t>Gross Revenue (Net)</t>
  </si>
  <si>
    <t xml:space="preserve">  SEGMENT-WISE RESULTS (PBT)  (₹ in Crores)  |  Standalone, FY Ending 31 March</t>
  </si>
  <si>
    <t>Total FMCG Profit</t>
  </si>
  <si>
    <t>Total Segment Results</t>
  </si>
  <si>
    <t>Profit Before Tax</t>
  </si>
  <si>
    <t xml:space="preserve">  NESTLE FINANCIALS  ─  Financial Statements Extract</t>
  </si>
  <si>
    <t xml:space="preserve">  PROFIT &amp; LOSS  (₹ in Crores)  |  FY = Calendar Year</t>
  </si>
  <si>
    <t>CY 2021</t>
  </si>
  <si>
    <t>CY 2020</t>
  </si>
  <si>
    <t>Domestic Sales</t>
  </si>
  <si>
    <t>Export Sales</t>
  </si>
  <si>
    <t>Revenue from operations (Net Sales)</t>
  </si>
  <si>
    <t>Other operating revenues</t>
  </si>
  <si>
    <t>Total Revenue from Operations</t>
  </si>
  <si>
    <t xml:space="preserve">  Purchases of stock-in-trade</t>
  </si>
  <si>
    <t xml:space="preserve">  Depreciation &amp; Amortisation</t>
  </si>
  <si>
    <t xml:space="preserve">  CSR expense</t>
  </si>
  <si>
    <t>PROFIT BEFORE EXCEPTIONAL ITEMS</t>
  </si>
  <si>
    <t>Exceptional items (net)</t>
  </si>
  <si>
    <t>PROFIT AFTER TAX</t>
  </si>
  <si>
    <t>Dividend per share (₹)</t>
  </si>
  <si>
    <t xml:space="preserve">  BALANCE SHEET  (₹ in Crores)  |  As at 31 December</t>
  </si>
  <si>
    <t xml:space="preserve">  Right of Use Assets</t>
  </si>
  <si>
    <t xml:space="preserve">  Investments</t>
  </si>
  <si>
    <t xml:space="preserve">  Financial Investments</t>
  </si>
  <si>
    <t xml:space="preserve">  Non-current liabilities (incl. provisions)</t>
  </si>
  <si>
    <t xml:space="preserve">  10-YEAR FINANCIAL HIGHLIGHTS  (₹ in Crores)</t>
  </si>
  <si>
    <t>CY 2019</t>
  </si>
  <si>
    <t>CY 2018</t>
  </si>
  <si>
    <t>CY 2017</t>
  </si>
  <si>
    <t>Net Sales</t>
  </si>
  <si>
    <t>Profit from Operations</t>
  </si>
  <si>
    <t>Operating Margin (%)</t>
  </si>
  <si>
    <t>Profit After Tax</t>
  </si>
  <si>
    <t>Operating Cash Flow</t>
  </si>
  <si>
    <t>Capital Expenditure</t>
  </si>
  <si>
    <t xml:space="preserve">  HUL FINANCIALS  ─  Financial Statements Extract</t>
  </si>
  <si>
    <t>Other income</t>
  </si>
  <si>
    <t>Profit before exceptional items &amp; tax</t>
  </si>
  <si>
    <t xml:space="preserve">  Current tax</t>
  </si>
  <si>
    <t xml:space="preserve">  Deferred tax</t>
  </si>
  <si>
    <t>PROFIT FOR THE YEAR (PAT)</t>
  </si>
  <si>
    <t>Other Comprehensive Income</t>
  </si>
  <si>
    <t xml:space="preserve">  Other intangible assets</t>
  </si>
  <si>
    <t xml:space="preserve">  Investments (subsidiaries etc.)</t>
  </si>
  <si>
    <t xml:space="preserve">  Loans &amp; other financial assets</t>
  </si>
  <si>
    <t xml:space="preserve">  Bank balances (other)</t>
  </si>
  <si>
    <t xml:space="preserve">  KEY METRICS &amp; HIGHLIGHTS  |  Standalone FY 2021-22</t>
  </si>
  <si>
    <t>Turnover (₹ Cr)</t>
  </si>
  <si>
    <t>Turnover Growth (%)</t>
  </si>
  <si>
    <t>PAT (₹ Cr)</t>
  </si>
  <si>
    <t>Cash from Operations (₹ Cr)</t>
  </si>
  <si>
    <t>Brands with turnover &gt; ₹1000 Cr</t>
  </si>
  <si>
    <t>No. of categories</t>
  </si>
  <si>
    <t xml:space="preserve">  DABUR FINANCIALS  ─  Financial Statements Extract</t>
  </si>
  <si>
    <t xml:space="preserve">  Advertisement &amp; publicity</t>
  </si>
  <si>
    <t xml:space="preserve">  Investment property</t>
  </si>
  <si>
    <t xml:space="preserve">  Investments (subsidiaries+)</t>
  </si>
  <si>
    <t xml:space="preserve">  KEY METRICS &amp; BUSINESS HIGHLIGHTS  |  FY 2021-22</t>
  </si>
  <si>
    <t>Revenue from Operations (Consolidated, ₹ Cr)</t>
  </si>
  <si>
    <t>Consolidated Revenue Growth (%)</t>
  </si>
  <si>
    <t>Domestic Volume Growth (%)</t>
  </si>
  <si>
    <t>N/A</t>
  </si>
  <si>
    <t>International Business Revenue (₹ Cr)</t>
  </si>
  <si>
    <t>E-commerce % of Sales (%)</t>
  </si>
  <si>
    <t>No. of brands &gt; ₹100 Cr</t>
  </si>
  <si>
    <t>No. of brands &gt; ₹500 Cr</t>
  </si>
  <si>
    <t>PAT Margin – Standalone (%)</t>
  </si>
  <si>
    <t>Debt-to-Equity (Standalone)</t>
  </si>
  <si>
    <t>SEGMENT-WISE REVENUE ANALYSIS  |  FY 2021-22  |  ₹ in Crores</t>
  </si>
  <si>
    <t>Company / Segment</t>
  </si>
  <si>
    <t>Revenue FY22</t>
  </si>
  <si>
    <t>Revenue FY21</t>
  </si>
  <si>
    <t>YoY Growth</t>
  </si>
  <si>
    <t>% of Total (FY22)</t>
  </si>
  <si>
    <t>Remarks</t>
  </si>
  <si>
    <t>ITC Limited ─────────────────────────────────</t>
  </si>
  <si>
    <t xml:space="preserve">  FMCG – Cigarettes</t>
  </si>
  <si>
    <t>~40% of gross revenue</t>
  </si>
  <si>
    <t xml:space="preserve">  FMCG – Others</t>
  </si>
  <si>
    <t>Foods, Personal Care, Matches</t>
  </si>
  <si>
    <t xml:space="preserve">  FMCG Total</t>
  </si>
  <si>
    <t>~67% of gross revenue</t>
  </si>
  <si>
    <t xml:space="preserve">  Hotels</t>
  </si>
  <si>
    <t>Post-COVID recovery</t>
  </si>
  <si>
    <t xml:space="preserve">  Agri Business</t>
  </si>
  <si>
    <t>Wheat, rice, spices, coffee</t>
  </si>
  <si>
    <t xml:space="preserve">  Paperboards &amp; Pkg</t>
  </si>
  <si>
    <t xml:space="preserve">  Less: Inter-segment</t>
  </si>
  <si>
    <t xml:space="preserve">  Gross Revenue (Net)</t>
  </si>
  <si>
    <t>HUL (Hindustan Unilever) ────────────────────</t>
  </si>
  <si>
    <t xml:space="preserve">  Home Care</t>
  </si>
  <si>
    <t>Estimated from segment data</t>
  </si>
  <si>
    <t xml:space="preserve">  Beauty &amp; Personal Care</t>
  </si>
  <si>
    <t>Largest segment</t>
  </si>
  <si>
    <t xml:space="preserve">  Foods &amp; Refreshment</t>
  </si>
  <si>
    <t>Tea, coffee, ice cream</t>
  </si>
  <si>
    <t xml:space="preserve">  Other/Corporate</t>
  </si>
  <si>
    <t xml:space="preserve">  Revenue from Ops</t>
  </si>
  <si>
    <t>Standalone</t>
  </si>
  <si>
    <t>Nestlé India ─────────────────────────────────</t>
  </si>
  <si>
    <t xml:space="preserve">  Milk Products &amp; Nutrition</t>
  </si>
  <si>
    <t>Milkmaid, Everyday</t>
  </si>
  <si>
    <t xml:space="preserve">  Prepared Dishes &amp; Cooking</t>
  </si>
  <si>
    <t>Maggi Noodles, Sauces</t>
  </si>
  <si>
    <t xml:space="preserve">  Powdered &amp; Liquid Beverages</t>
  </si>
  <si>
    <t>Nescafé, Milo</t>
  </si>
  <si>
    <t xml:space="preserve">  Confectionery</t>
  </si>
  <si>
    <t>KitKat, Milkybar</t>
  </si>
  <si>
    <t xml:space="preserve">  Exports</t>
  </si>
  <si>
    <t xml:space="preserve">  Domestic Sales</t>
  </si>
  <si>
    <t>Dabur India ──────────────────────────────────</t>
  </si>
  <si>
    <t xml:space="preserve">  Healthcare (Chyawanprash, Honey, etc.)</t>
  </si>
  <si>
    <t>Largest category</t>
  </si>
  <si>
    <t xml:space="preserve">  Hair Care (Vatika, Amla)</t>
  </si>
  <si>
    <t xml:space="preserve">  Oral Care (Red Toothpaste)</t>
  </si>
  <si>
    <t xml:space="preserve">  Foods &amp; Beverages (Réal)</t>
  </si>
  <si>
    <t>Fastest growing; +49.9% FY22</t>
  </si>
  <si>
    <t xml:space="preserve">  Others &amp; Exports</t>
  </si>
  <si>
    <t>KEY FINANCIAL RATIOS  |  FY 2021-22  (Standalone)  |  *Nestlé = CY 2021</t>
  </si>
  <si>
    <t>Ratio</t>
  </si>
  <si>
    <t>Formula / Note</t>
  </si>
  <si>
    <t>── PROFITABILITY RATIOS ──────────────────────────</t>
  </si>
  <si>
    <t>Gross Revenue / Revenue from Ops (₹ Cr)</t>
  </si>
  <si>
    <t>Revenue benchmark</t>
  </si>
  <si>
    <t>Revenue Growth YoY (%)</t>
  </si>
  <si>
    <t>(FY22 / FY21) – 1</t>
  </si>
  <si>
    <t>PBT + D&amp;A + Finance Costs</t>
  </si>
  <si>
    <t>Return on Assets (%)</t>
  </si>
  <si>
    <t>PAT / Avg Total Assets</t>
  </si>
  <si>
    <t>── LIQUIDITY RATIOS ───────────────────────────────</t>
  </si>
  <si>
    <t>Operating Cash Flow (₹ Cr)</t>
  </si>
  <si>
    <t>OCF to PAT (%)</t>
  </si>
  <si>
    <t>OCF / PAT</t>
  </si>
  <si>
    <t>── EFFICIENCY RATIOS ──────────────────────────────</t>
  </si>
  <si>
    <t>Inventory Turnover (x)</t>
  </si>
  <si>
    <t>COGS / Avg Inventory</t>
  </si>
  <si>
    <t>Receivables Turnover (x)</t>
  </si>
  <si>
    <t>Revenue / Avg Receivables</t>
  </si>
  <si>
    <t>Asset Turnover (x)</t>
  </si>
  <si>
    <t>Revenue / Avg Total Assets</t>
  </si>
  <si>
    <t>── LEVERAGE RATIOS ────────────────────────────────</t>
  </si>
  <si>
    <t>Interest Coverage Ratio</t>
  </si>
  <si>
    <t>EBIT / Finance Costs</t>
  </si>
  <si>
    <t>── MARKET METRICS ─────────────────────────────────</t>
  </si>
  <si>
    <t>Dividend per Share (₹)</t>
  </si>
  <si>
    <t>Total dividend FY22</t>
  </si>
  <si>
    <t>Dividend Payout Ratio (%)</t>
  </si>
  <si>
    <t>DPS / 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</si>
</sst>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595959"/>
      <name val="Arial"/>
    </font>
    <font>
      <sz val="10"/>
      <name val="Arial"/>
    </font>
    <font>
      <b/>
      <sz val="10"/>
      <color rgb="FFFFFFFF"/>
      <name val="Arial"/>
    </font>
    <font>
      <b/>
      <sz val="13"/>
      <color rgb="FFFFFFFF"/>
      <name val="Arial"/>
    </font>
    <font>
      <b/>
      <sz val="10"/>
      <color rgb="FF000000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0070C0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4" fontId="3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left" vertical="center"/>
    </xf>
    <xf numFmtId="4" fontId="3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9" fillId="6" borderId="1" xfId="0" applyFont="1" applyFill="1" applyBorder="1" applyAlignment="1">
      <alignment horizontal="left" vertical="center"/>
    </xf>
    <xf numFmtId="4" fontId="9" fillId="6" borderId="1" xfId="0" applyNumberFormat="1" applyFont="1" applyFill="1" applyBorder="1" applyAlignment="1">
      <alignment horizontal="right" vertical="center"/>
    </xf>
    <xf numFmtId="0" fontId="0" fillId="6" borderId="1" xfId="0" applyFill="1" applyBorder="1"/>
    <xf numFmtId="0" fontId="0" fillId="0" borderId="1" xfId="0" applyBorder="1"/>
    <xf numFmtId="0" fontId="0" fillId="5" borderId="1" xfId="0" applyFill="1" applyBorder="1"/>
    <xf numFmtId="0" fontId="3" fillId="5" borderId="1" xfId="0" applyFont="1" applyFill="1" applyBorder="1" applyAlignment="1">
      <alignment horizontal="right" vertical="center"/>
    </xf>
    <xf numFmtId="4" fontId="3" fillId="0" borderId="0" xfId="0" applyNumberFormat="1" applyFont="1" applyAlignment="1">
      <alignment horizontal="right" vertical="center"/>
    </xf>
    <xf numFmtId="164" fontId="3" fillId="5" borderId="1" xfId="0" applyNumberFormat="1" applyFont="1" applyFill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4" fontId="9" fillId="0" borderId="0" xfId="0" applyNumberFormat="1" applyFont="1" applyAlignment="1">
      <alignment horizontal="right" vertical="center"/>
    </xf>
    <xf numFmtId="164" fontId="9" fillId="6" borderId="1" xfId="0" applyNumberFormat="1" applyFont="1" applyFill="1" applyBorder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0" fontId="7" fillId="5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left" vertical="center"/>
    </xf>
    <xf numFmtId="4" fontId="9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left"/>
    </xf>
    <xf numFmtId="164" fontId="9" fillId="7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0" fontId="0" fillId="0" borderId="0" xfId="0"/>
    <xf numFmtId="0" fontId="5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B11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50" customWidth="1"/>
    <col min="2" max="2" width="30" customWidth="1"/>
  </cols>
  <sheetData>
    <row r="1" spans="1:2" ht="35" customHeight="1" x14ac:dyDescent="0.35">
      <c r="A1" s="34" t="s">
        <v>0</v>
      </c>
      <c r="B1" s="31"/>
    </row>
    <row r="2" spans="1:2" ht="18" customHeight="1" x14ac:dyDescent="0.35">
      <c r="A2" s="33" t="s">
        <v>1</v>
      </c>
      <c r="B2" s="31"/>
    </row>
    <row r="4" spans="1:2" x14ac:dyDescent="0.35">
      <c r="A4" s="1" t="s">
        <v>2</v>
      </c>
      <c r="B4" s="1" t="s">
        <v>3</v>
      </c>
    </row>
    <row r="5" spans="1:2" x14ac:dyDescent="0.35">
      <c r="A5" s="2" t="s">
        <v>4</v>
      </c>
      <c r="B5" s="2" t="s">
        <v>5</v>
      </c>
    </row>
    <row r="6" spans="1:2" x14ac:dyDescent="0.35">
      <c r="A6" s="2" t="s">
        <v>6</v>
      </c>
      <c r="B6" s="2" t="s">
        <v>7</v>
      </c>
    </row>
    <row r="7" spans="1:2" x14ac:dyDescent="0.35">
      <c r="A7" s="2" t="s">
        <v>8</v>
      </c>
      <c r="B7" s="2" t="s">
        <v>9</v>
      </c>
    </row>
    <row r="8" spans="1:2" x14ac:dyDescent="0.35">
      <c r="A8" s="2" t="s">
        <v>10</v>
      </c>
      <c r="B8" s="2" t="s">
        <v>11</v>
      </c>
    </row>
    <row r="9" spans="1:2" x14ac:dyDescent="0.35">
      <c r="A9" s="2" t="s">
        <v>12</v>
      </c>
      <c r="B9" s="2" t="s">
        <v>13</v>
      </c>
    </row>
    <row r="10" spans="1:2" x14ac:dyDescent="0.35">
      <c r="A10" s="2" t="s">
        <v>14</v>
      </c>
      <c r="B10" s="2" t="s">
        <v>15</v>
      </c>
    </row>
    <row r="11" spans="1:2" x14ac:dyDescent="0.35">
      <c r="A11" s="2" t="s">
        <v>16</v>
      </c>
      <c r="B11" s="2" t="s">
        <v>17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F26"/>
  <sheetViews>
    <sheetView workbookViewId="0">
      <pane xSplit="1" ySplit="2" topLeftCell="B28" activePane="bottomRight" state="frozen"/>
      <selection pane="topRight"/>
      <selection pane="bottomLeft"/>
      <selection pane="bottomRight" sqref="A1:F1"/>
    </sheetView>
  </sheetViews>
  <sheetFormatPr defaultRowHeight="14.5" x14ac:dyDescent="0.35"/>
  <cols>
    <col min="1" max="1" width="32" customWidth="1"/>
    <col min="2" max="5" width="16" customWidth="1"/>
    <col min="6" max="6" width="18" customWidth="1"/>
  </cols>
  <sheetData>
    <row r="1" spans="1:6" ht="35" customHeight="1" x14ac:dyDescent="0.35">
      <c r="A1" s="32" t="s">
        <v>18</v>
      </c>
      <c r="B1" s="31"/>
      <c r="C1" s="31"/>
      <c r="D1" s="31"/>
      <c r="E1" s="31"/>
      <c r="F1" s="31"/>
    </row>
    <row r="2" spans="1:6" ht="20" customHeight="1" x14ac:dyDescent="0.3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</row>
    <row r="3" spans="1:6" ht="18" customHeight="1" x14ac:dyDescent="0.35">
      <c r="A3" s="35" t="s">
        <v>25</v>
      </c>
      <c r="B3" s="31"/>
      <c r="C3" s="31"/>
      <c r="D3" s="31"/>
      <c r="E3" s="31"/>
      <c r="F3" s="31"/>
    </row>
    <row r="4" spans="1:6" ht="18" customHeight="1" x14ac:dyDescent="0.35">
      <c r="A4" s="4" t="s">
        <v>26</v>
      </c>
      <c r="B4" s="5">
        <v>59745.56</v>
      </c>
      <c r="C4" s="5">
        <v>14709.41</v>
      </c>
      <c r="D4" s="5">
        <v>51193</v>
      </c>
      <c r="E4" s="5">
        <v>8179.5</v>
      </c>
      <c r="F4" s="6" t="s">
        <v>27</v>
      </c>
    </row>
    <row r="5" spans="1:6" ht="18" customHeight="1" x14ac:dyDescent="0.35">
      <c r="A5" s="2" t="s">
        <v>28</v>
      </c>
      <c r="B5" s="7">
        <v>23.1</v>
      </c>
      <c r="C5" s="7">
        <v>10.1</v>
      </c>
      <c r="D5" s="7">
        <v>11.3</v>
      </c>
      <c r="E5" s="7">
        <v>13.9</v>
      </c>
      <c r="F5" s="8" t="s">
        <v>29</v>
      </c>
    </row>
    <row r="6" spans="1:6" ht="18" customHeight="1" x14ac:dyDescent="0.35">
      <c r="A6" s="4" t="s">
        <v>30</v>
      </c>
      <c r="B6" s="5">
        <v>62335.53</v>
      </c>
      <c r="C6" s="5">
        <v>14829.52</v>
      </c>
      <c r="D6" s="5">
        <v>51586</v>
      </c>
      <c r="E6" s="5">
        <v>8521.0499999999993</v>
      </c>
      <c r="F6" s="6" t="s">
        <v>31</v>
      </c>
    </row>
    <row r="7" spans="1:6" ht="18" customHeight="1" x14ac:dyDescent="0.35">
      <c r="A7" s="2" t="s">
        <v>32</v>
      </c>
      <c r="B7" s="7">
        <v>21481.68</v>
      </c>
      <c r="C7" s="7">
        <v>3554.78</v>
      </c>
      <c r="D7" s="7">
        <v>12798</v>
      </c>
      <c r="E7" s="7">
        <v>2074.6999999999998</v>
      </c>
      <c r="F7" s="8" t="s">
        <v>33</v>
      </c>
    </row>
    <row r="8" spans="1:6" ht="18" customHeight="1" x14ac:dyDescent="0.35">
      <c r="A8" s="4" t="s">
        <v>34</v>
      </c>
      <c r="B8" s="5">
        <v>0.35959999999999998</v>
      </c>
      <c r="C8" s="5">
        <v>0.2419</v>
      </c>
      <c r="D8" s="5">
        <v>0.24990000000000001</v>
      </c>
      <c r="E8" s="5">
        <v>0.25369999999999998</v>
      </c>
      <c r="F8" s="6" t="s">
        <v>35</v>
      </c>
    </row>
    <row r="9" spans="1:6" ht="18" customHeight="1" x14ac:dyDescent="0.35">
      <c r="A9" s="2" t="s">
        <v>36</v>
      </c>
      <c r="B9" s="7">
        <v>19829.53</v>
      </c>
      <c r="C9" s="7">
        <v>2883.77</v>
      </c>
      <c r="D9" s="7">
        <v>11739</v>
      </c>
      <c r="E9" s="7">
        <v>1896.31</v>
      </c>
      <c r="F9" s="8"/>
    </row>
    <row r="10" spans="1:6" ht="18" customHeight="1" x14ac:dyDescent="0.35">
      <c r="A10" s="4" t="s">
        <v>37</v>
      </c>
      <c r="B10" s="5">
        <v>15057.83</v>
      </c>
      <c r="C10" s="5">
        <v>2144.86</v>
      </c>
      <c r="D10" s="5">
        <v>8818</v>
      </c>
      <c r="E10" s="5">
        <v>1432.93</v>
      </c>
      <c r="F10" s="6"/>
    </row>
    <row r="11" spans="1:6" ht="18" customHeight="1" x14ac:dyDescent="0.35">
      <c r="A11" s="2" t="s">
        <v>38</v>
      </c>
      <c r="B11" s="7">
        <v>0.25209999999999999</v>
      </c>
      <c r="C11" s="7">
        <v>0.1459</v>
      </c>
      <c r="D11" s="7">
        <v>0.17230000000000001</v>
      </c>
      <c r="E11" s="7">
        <v>0.17519999999999999</v>
      </c>
      <c r="F11" s="8" t="s">
        <v>39</v>
      </c>
    </row>
    <row r="12" spans="1:6" ht="18" customHeight="1" x14ac:dyDescent="0.35">
      <c r="A12" s="4" t="s">
        <v>40</v>
      </c>
      <c r="B12" s="5">
        <v>12.22</v>
      </c>
      <c r="C12" s="5">
        <v>222.5</v>
      </c>
      <c r="D12" s="5">
        <v>37.53</v>
      </c>
      <c r="E12" s="5">
        <v>8.11</v>
      </c>
      <c r="F12" s="6" t="s">
        <v>41</v>
      </c>
    </row>
    <row r="13" spans="1:6" ht="18" customHeight="1" x14ac:dyDescent="0.35">
      <c r="A13" s="35" t="s">
        <v>42</v>
      </c>
      <c r="B13" s="31"/>
      <c r="C13" s="31"/>
      <c r="D13" s="31"/>
      <c r="E13" s="31"/>
      <c r="F13" s="31"/>
    </row>
    <row r="14" spans="1:6" ht="18" customHeight="1" x14ac:dyDescent="0.35">
      <c r="A14" s="4" t="s">
        <v>43</v>
      </c>
      <c r="B14" s="5">
        <v>75092.5</v>
      </c>
      <c r="C14" s="5">
        <v>8209.93</v>
      </c>
      <c r="D14" s="5">
        <v>69737</v>
      </c>
      <c r="E14" s="5">
        <v>8592</v>
      </c>
      <c r="F14" s="6"/>
    </row>
    <row r="15" spans="1:6" ht="18" customHeight="1" x14ac:dyDescent="0.35">
      <c r="A15" s="2" t="s">
        <v>44</v>
      </c>
      <c r="B15" s="7">
        <v>61399.57</v>
      </c>
      <c r="C15" s="7">
        <v>2084.48</v>
      </c>
      <c r="D15" s="7">
        <v>48760</v>
      </c>
      <c r="E15" s="7">
        <v>5863.87</v>
      </c>
      <c r="F15" s="8"/>
    </row>
    <row r="16" spans="1:6" ht="18" customHeight="1" x14ac:dyDescent="0.35">
      <c r="A16" s="4" t="s">
        <v>45</v>
      </c>
      <c r="B16" s="5">
        <v>9997.77</v>
      </c>
      <c r="C16" s="5">
        <v>1580.22</v>
      </c>
      <c r="D16" s="5">
        <v>3890</v>
      </c>
      <c r="E16" s="5">
        <v>1237.96</v>
      </c>
      <c r="F16" s="6"/>
    </row>
    <row r="17" spans="1:6" ht="18" customHeight="1" x14ac:dyDescent="0.35">
      <c r="A17" s="2" t="s">
        <v>46</v>
      </c>
      <c r="B17" s="7">
        <v>1952.5</v>
      </c>
      <c r="C17" s="7">
        <v>165.27</v>
      </c>
      <c r="D17" s="7">
        <v>1932</v>
      </c>
      <c r="E17" s="7">
        <v>454.55</v>
      </c>
      <c r="F17" s="8"/>
    </row>
    <row r="18" spans="1:6" ht="18" customHeight="1" x14ac:dyDescent="0.35">
      <c r="A18" s="4" t="s">
        <v>47</v>
      </c>
      <c r="B18" s="5">
        <v>184.97</v>
      </c>
      <c r="C18" s="5">
        <v>718.53</v>
      </c>
      <c r="D18" s="5">
        <v>988</v>
      </c>
      <c r="E18" s="5">
        <v>10.47</v>
      </c>
      <c r="F18" s="6"/>
    </row>
    <row r="19" spans="1:6" ht="18" customHeight="1" x14ac:dyDescent="0.35">
      <c r="A19" s="2" t="s">
        <v>48</v>
      </c>
      <c r="B19" s="7">
        <v>5.28</v>
      </c>
      <c r="C19" s="7">
        <v>27.47</v>
      </c>
      <c r="D19" s="9">
        <v>0</v>
      </c>
      <c r="E19" s="7">
        <v>510.98</v>
      </c>
      <c r="F19" s="8" t="s">
        <v>49</v>
      </c>
    </row>
    <row r="20" spans="1:6" ht="18" customHeight="1" x14ac:dyDescent="0.35">
      <c r="A20" s="35" t="s">
        <v>50</v>
      </c>
      <c r="B20" s="31"/>
      <c r="C20" s="31"/>
      <c r="D20" s="31"/>
      <c r="E20" s="31"/>
      <c r="F20" s="31"/>
    </row>
    <row r="21" spans="1:6" ht="18" customHeight="1" x14ac:dyDescent="0.35">
      <c r="A21" s="2" t="s">
        <v>51</v>
      </c>
      <c r="B21" s="7">
        <v>14807.79</v>
      </c>
      <c r="C21" s="7">
        <v>2271.4</v>
      </c>
      <c r="D21" s="7">
        <v>11684</v>
      </c>
      <c r="E21" s="7">
        <v>1765.32</v>
      </c>
      <c r="F21" s="8"/>
    </row>
    <row r="22" spans="1:6" ht="18" customHeight="1" x14ac:dyDescent="0.35">
      <c r="A22" s="4" t="s">
        <v>52</v>
      </c>
      <c r="B22" s="5">
        <v>1812.03</v>
      </c>
      <c r="C22" s="5">
        <v>730.8</v>
      </c>
      <c r="D22" s="5">
        <v>1025</v>
      </c>
      <c r="E22" s="5">
        <v>360</v>
      </c>
      <c r="F22" s="6" t="s">
        <v>53</v>
      </c>
    </row>
    <row r="23" spans="1:6" ht="18" customHeight="1" x14ac:dyDescent="0.35">
      <c r="A23" s="35" t="s">
        <v>54</v>
      </c>
      <c r="B23" s="31"/>
      <c r="C23" s="31"/>
      <c r="D23" s="31"/>
      <c r="E23" s="31"/>
      <c r="F23" s="31"/>
    </row>
    <row r="24" spans="1:6" ht="18" customHeight="1" x14ac:dyDescent="0.35">
      <c r="A24" s="4" t="s">
        <v>55</v>
      </c>
      <c r="B24" s="5">
        <v>0.24529999999999999</v>
      </c>
      <c r="C24" s="5">
        <v>1.0449999999999999</v>
      </c>
      <c r="D24" s="5">
        <v>0.18079999999999999</v>
      </c>
      <c r="E24" s="5">
        <v>0.24429999999999999</v>
      </c>
      <c r="F24" s="6" t="s">
        <v>56</v>
      </c>
    </row>
    <row r="25" spans="1:6" ht="18" customHeight="1" x14ac:dyDescent="0.35">
      <c r="A25" s="2" t="s">
        <v>57</v>
      </c>
      <c r="B25" s="10">
        <v>1E-4</v>
      </c>
      <c r="C25" s="10">
        <v>1.32E-2</v>
      </c>
      <c r="D25" s="9">
        <v>0</v>
      </c>
      <c r="E25" s="10">
        <v>8.7099999999999997E-2</v>
      </c>
      <c r="F25" s="8" t="s">
        <v>58</v>
      </c>
    </row>
    <row r="26" spans="1:6" ht="18" customHeight="1" x14ac:dyDescent="0.35">
      <c r="A26" s="4" t="s">
        <v>59</v>
      </c>
      <c r="B26" s="5">
        <v>2.7</v>
      </c>
      <c r="C26" s="5">
        <v>1.1000000000000001</v>
      </c>
      <c r="D26" s="5">
        <v>1.34</v>
      </c>
      <c r="E26" s="5">
        <v>1.1399999999999999</v>
      </c>
      <c r="F26" s="6" t="s">
        <v>60</v>
      </c>
    </row>
  </sheetData>
  <mergeCells count="5">
    <mergeCell ref="A13:F13"/>
    <mergeCell ref="A1:F1"/>
    <mergeCell ref="A23:F23"/>
    <mergeCell ref="A3:F3"/>
    <mergeCell ref="A20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5B96"/>
  </sheetPr>
  <dimension ref="A1:D86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J77" sqref="J77"/>
    </sheetView>
  </sheetViews>
  <sheetFormatPr defaultRowHeight="14.5" x14ac:dyDescent="0.35"/>
  <cols>
    <col min="1" max="1" width="50.26953125" bestFit="1" customWidth="1"/>
    <col min="2" max="3" width="10.26953125" bestFit="1" customWidth="1"/>
    <col min="4" max="4" width="16" customWidth="1"/>
  </cols>
  <sheetData>
    <row r="1" spans="1:4" x14ac:dyDescent="0.35">
      <c r="A1" s="32" t="s">
        <v>61</v>
      </c>
      <c r="B1" s="31"/>
      <c r="C1" s="31"/>
      <c r="D1" s="31"/>
    </row>
    <row r="2" spans="1:4" x14ac:dyDescent="0.35">
      <c r="A2" s="36" t="s">
        <v>62</v>
      </c>
      <c r="B2" s="31"/>
      <c r="C2" s="31"/>
      <c r="D2" s="31"/>
    </row>
    <row r="3" spans="1:4" x14ac:dyDescent="0.35">
      <c r="A3" s="3" t="s">
        <v>63</v>
      </c>
      <c r="B3" s="3" t="s">
        <v>64</v>
      </c>
      <c r="C3" s="3" t="s">
        <v>65</v>
      </c>
    </row>
    <row r="4" spans="1:4" x14ac:dyDescent="0.35">
      <c r="A4" s="11" t="s">
        <v>66</v>
      </c>
      <c r="B4" s="12">
        <v>59745.56</v>
      </c>
      <c r="C4" s="12">
        <v>48524.56</v>
      </c>
      <c r="D4" s="13"/>
    </row>
    <row r="5" spans="1:4" x14ac:dyDescent="0.35">
      <c r="A5" s="2" t="s">
        <v>67</v>
      </c>
      <c r="B5" s="7">
        <v>59101.09</v>
      </c>
      <c r="C5" s="7">
        <v>48151.26</v>
      </c>
      <c r="D5" s="14"/>
    </row>
    <row r="6" spans="1:4" x14ac:dyDescent="0.35">
      <c r="A6" s="4" t="s">
        <v>68</v>
      </c>
      <c r="B6" s="5">
        <v>644.47</v>
      </c>
      <c r="C6" s="5">
        <v>373.3</v>
      </c>
      <c r="D6" s="15"/>
    </row>
    <row r="7" spans="1:4" x14ac:dyDescent="0.35">
      <c r="A7" s="2" t="s">
        <v>69</v>
      </c>
      <c r="B7" s="7">
        <v>2589.9699999999998</v>
      </c>
      <c r="C7" s="7">
        <v>3250.99</v>
      </c>
      <c r="D7" s="14"/>
    </row>
    <row r="8" spans="1:4" x14ac:dyDescent="0.35">
      <c r="A8" s="11" t="s">
        <v>70</v>
      </c>
      <c r="B8" s="12">
        <v>62335.53</v>
      </c>
      <c r="C8" s="12">
        <v>51775.55</v>
      </c>
      <c r="D8" s="13"/>
    </row>
    <row r="9" spans="1:4" x14ac:dyDescent="0.35">
      <c r="A9" s="2" t="s">
        <v>71</v>
      </c>
      <c r="B9" s="9"/>
      <c r="C9" s="9"/>
      <c r="D9" s="14"/>
    </row>
    <row r="10" spans="1:4" x14ac:dyDescent="0.35">
      <c r="A10" s="4" t="s">
        <v>72</v>
      </c>
      <c r="B10" s="5">
        <v>16064.5</v>
      </c>
      <c r="C10" s="5">
        <v>13605.07</v>
      </c>
      <c r="D10" s="15"/>
    </row>
    <row r="11" spans="1:4" x14ac:dyDescent="0.35">
      <c r="A11" s="2" t="s">
        <v>73</v>
      </c>
      <c r="B11" s="7">
        <v>10734.48</v>
      </c>
      <c r="C11" s="7">
        <v>6896.41</v>
      </c>
      <c r="D11" s="14"/>
    </row>
    <row r="12" spans="1:4" x14ac:dyDescent="0.35">
      <c r="A12" s="4" t="s">
        <v>74</v>
      </c>
      <c r="B12" s="5">
        <v>-566.46</v>
      </c>
      <c r="C12" s="5">
        <v>-526.86</v>
      </c>
      <c r="D12" s="15"/>
    </row>
    <row r="13" spans="1:4" x14ac:dyDescent="0.35">
      <c r="A13" s="2" t="s">
        <v>75</v>
      </c>
      <c r="B13" s="7">
        <v>3404.29</v>
      </c>
      <c r="C13" s="7">
        <v>3039.43</v>
      </c>
      <c r="D13" s="14"/>
    </row>
    <row r="14" spans="1:4" x14ac:dyDescent="0.35">
      <c r="A14" s="4" t="s">
        <v>76</v>
      </c>
      <c r="B14" s="5">
        <v>3061.99</v>
      </c>
      <c r="C14" s="5">
        <v>2820.95</v>
      </c>
      <c r="D14" s="15"/>
    </row>
    <row r="15" spans="1:4" x14ac:dyDescent="0.35">
      <c r="A15" s="2" t="s">
        <v>77</v>
      </c>
      <c r="B15" s="7">
        <v>41.95</v>
      </c>
      <c r="C15" s="7">
        <v>47.47</v>
      </c>
      <c r="D15" s="14"/>
    </row>
    <row r="16" spans="1:4" x14ac:dyDescent="0.35">
      <c r="A16" s="4" t="s">
        <v>78</v>
      </c>
      <c r="B16" s="5">
        <v>1652.15</v>
      </c>
      <c r="C16" s="5">
        <v>1561.83</v>
      </c>
      <c r="D16" s="15"/>
    </row>
    <row r="17" spans="1:4" x14ac:dyDescent="0.35">
      <c r="A17" s="2" t="s">
        <v>79</v>
      </c>
      <c r="B17" s="7">
        <v>8113.1</v>
      </c>
      <c r="C17" s="7">
        <v>7167.06</v>
      </c>
      <c r="D17" s="14"/>
    </row>
    <row r="18" spans="1:4" x14ac:dyDescent="0.35">
      <c r="A18" s="11" t="s">
        <v>80</v>
      </c>
      <c r="B18" s="12">
        <v>42506</v>
      </c>
      <c r="C18" s="12">
        <v>34611.360000000001</v>
      </c>
      <c r="D18" s="13"/>
    </row>
    <row r="19" spans="1:4" x14ac:dyDescent="0.35">
      <c r="A19" s="11" t="s">
        <v>81</v>
      </c>
      <c r="B19" s="12">
        <v>19829.53</v>
      </c>
      <c r="C19" s="12">
        <v>17164.189999999999</v>
      </c>
      <c r="D19" s="13"/>
    </row>
    <row r="20" spans="1:4" x14ac:dyDescent="0.35">
      <c r="A20" s="4" t="s">
        <v>82</v>
      </c>
      <c r="B20" s="5">
        <v>4771.7</v>
      </c>
      <c r="C20" s="5">
        <v>4132.51</v>
      </c>
      <c r="D20" s="15"/>
    </row>
    <row r="21" spans="1:4" x14ac:dyDescent="0.35">
      <c r="A21" s="11" t="s">
        <v>83</v>
      </c>
      <c r="B21" s="12">
        <v>15057.83</v>
      </c>
      <c r="C21" s="12">
        <v>13031.68</v>
      </c>
      <c r="D21" s="13"/>
    </row>
    <row r="22" spans="1:4" x14ac:dyDescent="0.35">
      <c r="A22" s="11" t="s">
        <v>84</v>
      </c>
      <c r="B22" s="12">
        <v>15631.68</v>
      </c>
      <c r="C22" s="12">
        <v>13277.93</v>
      </c>
      <c r="D22" s="13"/>
    </row>
    <row r="23" spans="1:4" x14ac:dyDescent="0.35">
      <c r="A23" s="2" t="s">
        <v>85</v>
      </c>
      <c r="B23" s="7">
        <v>12.22</v>
      </c>
      <c r="C23" s="7">
        <v>10.59</v>
      </c>
      <c r="D23" s="14"/>
    </row>
    <row r="25" spans="1:4" x14ac:dyDescent="0.35">
      <c r="A25" s="36" t="s">
        <v>86</v>
      </c>
      <c r="B25" s="31"/>
      <c r="C25" s="31"/>
      <c r="D25" s="31"/>
    </row>
    <row r="26" spans="1:4" x14ac:dyDescent="0.35">
      <c r="A26" s="3" t="s">
        <v>63</v>
      </c>
      <c r="B26" s="3" t="s">
        <v>64</v>
      </c>
      <c r="C26" s="3" t="s">
        <v>65</v>
      </c>
    </row>
    <row r="27" spans="1:4" x14ac:dyDescent="0.35">
      <c r="A27" s="4" t="s">
        <v>87</v>
      </c>
      <c r="B27" s="16"/>
      <c r="C27" s="16"/>
      <c r="D27" s="15"/>
    </row>
    <row r="28" spans="1:4" x14ac:dyDescent="0.35">
      <c r="A28" s="2" t="s">
        <v>88</v>
      </c>
      <c r="B28" s="7">
        <v>19559.150000000001</v>
      </c>
      <c r="C28" s="7">
        <v>18502.87</v>
      </c>
      <c r="D28" s="14"/>
    </row>
    <row r="29" spans="1:4" x14ac:dyDescent="0.35">
      <c r="A29" s="4" t="s">
        <v>89</v>
      </c>
      <c r="B29" s="5">
        <v>2442.34</v>
      </c>
      <c r="C29" s="5">
        <v>3329.97</v>
      </c>
      <c r="D29" s="15"/>
    </row>
    <row r="30" spans="1:4" x14ac:dyDescent="0.35">
      <c r="A30" s="2" t="s">
        <v>90</v>
      </c>
      <c r="B30" s="7">
        <v>577.20000000000005</v>
      </c>
      <c r="C30" s="7">
        <v>577.20000000000005</v>
      </c>
      <c r="D30" s="14"/>
    </row>
    <row r="31" spans="1:4" x14ac:dyDescent="0.35">
      <c r="A31" s="4" t="s">
        <v>91</v>
      </c>
      <c r="B31" s="5">
        <v>2007.22</v>
      </c>
      <c r="C31" s="5">
        <v>2004.32</v>
      </c>
      <c r="D31" s="15"/>
    </row>
    <row r="32" spans="1:4" x14ac:dyDescent="0.35">
      <c r="A32" s="2" t="s">
        <v>92</v>
      </c>
      <c r="B32" s="7">
        <v>15657.32</v>
      </c>
      <c r="C32" s="7">
        <v>12937.42</v>
      </c>
      <c r="D32" s="14"/>
    </row>
    <row r="33" spans="1:4" x14ac:dyDescent="0.35">
      <c r="A33" s="4" t="s">
        <v>93</v>
      </c>
      <c r="B33" s="5">
        <v>1228.92</v>
      </c>
      <c r="C33" s="5">
        <v>1231.6199999999999</v>
      </c>
      <c r="D33" s="15"/>
    </row>
    <row r="34" spans="1:4" x14ac:dyDescent="0.35">
      <c r="A34" s="11" t="s">
        <v>94</v>
      </c>
      <c r="B34" s="12">
        <v>44150.49</v>
      </c>
      <c r="C34" s="12">
        <v>39765.120000000003</v>
      </c>
      <c r="D34" s="13"/>
    </row>
    <row r="35" spans="1:4" x14ac:dyDescent="0.35">
      <c r="A35" s="4" t="s">
        <v>95</v>
      </c>
      <c r="B35" s="16"/>
      <c r="C35" s="16"/>
      <c r="D35" s="15"/>
    </row>
    <row r="36" spans="1:4" x14ac:dyDescent="0.35">
      <c r="A36" s="2" t="s">
        <v>96</v>
      </c>
      <c r="B36" s="7">
        <v>9997.77</v>
      </c>
      <c r="C36" s="7">
        <v>9470.8700000000008</v>
      </c>
      <c r="D36" s="14"/>
    </row>
    <row r="37" spans="1:4" x14ac:dyDescent="0.35">
      <c r="A37" s="4" t="s">
        <v>97</v>
      </c>
      <c r="B37" s="5">
        <v>1952.5</v>
      </c>
      <c r="C37" s="5">
        <v>2090.29</v>
      </c>
      <c r="D37" s="15"/>
    </row>
    <row r="38" spans="1:4" x14ac:dyDescent="0.35">
      <c r="A38" s="2" t="s">
        <v>98</v>
      </c>
      <c r="B38" s="7">
        <v>184.97</v>
      </c>
      <c r="C38" s="7">
        <v>231.28</v>
      </c>
      <c r="D38" s="14"/>
    </row>
    <row r="39" spans="1:4" x14ac:dyDescent="0.35">
      <c r="A39" s="4" t="s">
        <v>99</v>
      </c>
      <c r="B39" s="5">
        <v>3692.97</v>
      </c>
      <c r="C39" s="5">
        <v>3770.25</v>
      </c>
      <c r="D39" s="15"/>
    </row>
    <row r="40" spans="1:4" x14ac:dyDescent="0.35">
      <c r="A40" s="2" t="s">
        <v>100</v>
      </c>
      <c r="B40" s="7">
        <v>11624.95</v>
      </c>
      <c r="C40" s="7">
        <v>14046.71</v>
      </c>
      <c r="D40" s="14"/>
    </row>
    <row r="41" spans="1:4" x14ac:dyDescent="0.35">
      <c r="A41" s="4" t="s">
        <v>101</v>
      </c>
      <c r="B41" s="5">
        <v>1195.1500000000001</v>
      </c>
      <c r="C41" s="5">
        <v>1006.07</v>
      </c>
      <c r="D41" s="15"/>
    </row>
    <row r="42" spans="1:4" x14ac:dyDescent="0.35">
      <c r="A42" s="11" t="s">
        <v>102</v>
      </c>
      <c r="B42" s="12">
        <v>30942.01</v>
      </c>
      <c r="C42" s="12">
        <v>31815.24</v>
      </c>
      <c r="D42" s="13"/>
    </row>
    <row r="43" spans="1:4" x14ac:dyDescent="0.35">
      <c r="A43" s="11" t="s">
        <v>103</v>
      </c>
      <c r="B43" s="12">
        <v>75092.5</v>
      </c>
      <c r="C43" s="12">
        <v>71580.36</v>
      </c>
      <c r="D43" s="13"/>
    </row>
    <row r="44" spans="1:4" x14ac:dyDescent="0.35">
      <c r="A44" s="2" t="s">
        <v>104</v>
      </c>
      <c r="B44" s="9"/>
      <c r="C44" s="9"/>
      <c r="D44" s="14"/>
    </row>
    <row r="45" spans="1:4" x14ac:dyDescent="0.35">
      <c r="A45" s="4" t="s">
        <v>105</v>
      </c>
      <c r="B45" s="5">
        <v>1232.33</v>
      </c>
      <c r="C45" s="5">
        <v>1230.8800000000001</v>
      </c>
      <c r="D45" s="15"/>
    </row>
    <row r="46" spans="1:4" x14ac:dyDescent="0.35">
      <c r="A46" s="2" t="s">
        <v>106</v>
      </c>
      <c r="B46" s="7">
        <v>60167.24</v>
      </c>
      <c r="C46" s="7">
        <v>57773.74</v>
      </c>
      <c r="D46" s="14"/>
    </row>
    <row r="47" spans="1:4" x14ac:dyDescent="0.35">
      <c r="A47" s="11" t="s">
        <v>107</v>
      </c>
      <c r="B47" s="12">
        <v>61399.57</v>
      </c>
      <c r="C47" s="12">
        <v>59004.62</v>
      </c>
      <c r="D47" s="13"/>
    </row>
    <row r="48" spans="1:4" x14ac:dyDescent="0.35">
      <c r="A48" s="2" t="s">
        <v>108</v>
      </c>
      <c r="B48" s="9"/>
      <c r="C48" s="9"/>
      <c r="D48" s="14"/>
    </row>
    <row r="49" spans="1:4" x14ac:dyDescent="0.35">
      <c r="A49" s="4" t="s">
        <v>109</v>
      </c>
      <c r="B49" s="5">
        <v>2214.84</v>
      </c>
      <c r="C49" s="5">
        <v>2401.79</v>
      </c>
      <c r="D49" s="15"/>
    </row>
    <row r="50" spans="1:4" x14ac:dyDescent="0.35">
      <c r="A50" s="2" t="s">
        <v>110</v>
      </c>
      <c r="B50" s="7">
        <v>11478.09</v>
      </c>
      <c r="C50" s="7">
        <v>10173.950000000001</v>
      </c>
      <c r="D50" s="14"/>
    </row>
    <row r="51" spans="1:4" x14ac:dyDescent="0.35">
      <c r="A51" s="11" t="s">
        <v>111</v>
      </c>
      <c r="B51" s="12">
        <v>75092.5</v>
      </c>
      <c r="C51" s="12">
        <v>71580.36</v>
      </c>
      <c r="D51" s="13"/>
    </row>
    <row r="53" spans="1:4" x14ac:dyDescent="0.35">
      <c r="A53" s="36" t="s">
        <v>112</v>
      </c>
      <c r="B53" s="31"/>
      <c r="C53" s="31"/>
      <c r="D53" s="31"/>
    </row>
    <row r="54" spans="1:4" x14ac:dyDescent="0.35">
      <c r="A54" s="3" t="s">
        <v>63</v>
      </c>
      <c r="B54" s="3" t="s">
        <v>64</v>
      </c>
      <c r="C54" s="3" t="s">
        <v>65</v>
      </c>
    </row>
    <row r="55" spans="1:4" x14ac:dyDescent="0.35">
      <c r="A55" s="4" t="s">
        <v>113</v>
      </c>
      <c r="B55" s="5">
        <v>14807.79</v>
      </c>
      <c r="C55" s="5">
        <v>11493.86</v>
      </c>
      <c r="D55" s="15"/>
    </row>
    <row r="56" spans="1:4" x14ac:dyDescent="0.35">
      <c r="A56" s="2" t="s">
        <v>114</v>
      </c>
      <c r="B56" s="7">
        <v>19829.53</v>
      </c>
      <c r="C56" s="7">
        <v>17164.189999999999</v>
      </c>
      <c r="D56" s="14"/>
    </row>
    <row r="57" spans="1:4" x14ac:dyDescent="0.35">
      <c r="A57" s="4" t="s">
        <v>78</v>
      </c>
      <c r="B57" s="5">
        <v>1652.15</v>
      </c>
      <c r="C57" s="5">
        <v>1561.83</v>
      </c>
      <c r="D57" s="15"/>
    </row>
    <row r="58" spans="1:4" x14ac:dyDescent="0.35">
      <c r="A58" s="2" t="s">
        <v>115</v>
      </c>
      <c r="B58" s="7">
        <v>184.1</v>
      </c>
      <c r="C58" s="7">
        <v>-394.93</v>
      </c>
      <c r="D58" s="14"/>
    </row>
    <row r="59" spans="1:4" x14ac:dyDescent="0.35">
      <c r="A59" s="4" t="s">
        <v>116</v>
      </c>
      <c r="B59" s="5">
        <v>-4510.0200000000004</v>
      </c>
      <c r="C59" s="5">
        <v>-3956.62</v>
      </c>
      <c r="D59" s="15"/>
    </row>
    <row r="60" spans="1:4" x14ac:dyDescent="0.35">
      <c r="A60" s="2" t="s">
        <v>117</v>
      </c>
      <c r="B60" s="7">
        <v>-1517.06</v>
      </c>
      <c r="C60" s="7">
        <v>6497.89</v>
      </c>
      <c r="D60" s="14"/>
    </row>
    <row r="61" spans="1:4" x14ac:dyDescent="0.35">
      <c r="A61" s="4" t="s">
        <v>118</v>
      </c>
      <c r="B61" s="5">
        <v>-1812.03</v>
      </c>
      <c r="C61" s="5">
        <v>-1582.09</v>
      </c>
      <c r="D61" s="15"/>
    </row>
    <row r="62" spans="1:4" x14ac:dyDescent="0.35">
      <c r="A62" s="2" t="s">
        <v>119</v>
      </c>
      <c r="B62" s="7">
        <v>-13337.03</v>
      </c>
      <c r="C62" s="7">
        <v>-18378.89</v>
      </c>
      <c r="D62" s="14"/>
    </row>
    <row r="63" spans="1:4" x14ac:dyDescent="0.35">
      <c r="A63" s="4" t="s">
        <v>120</v>
      </c>
      <c r="B63" s="5">
        <v>-13547.07</v>
      </c>
      <c r="C63" s="5">
        <v>-18629.29</v>
      </c>
      <c r="D63" s="15"/>
    </row>
    <row r="64" spans="1:4" x14ac:dyDescent="0.35">
      <c r="A64" s="2" t="s">
        <v>121</v>
      </c>
      <c r="B64" s="7">
        <v>-46.3</v>
      </c>
      <c r="C64" s="7">
        <v>-387.14</v>
      </c>
      <c r="D64" s="14"/>
    </row>
    <row r="66" spans="1:4" x14ac:dyDescent="0.35">
      <c r="A66" s="36" t="s">
        <v>122</v>
      </c>
      <c r="B66" s="31"/>
      <c r="C66" s="31"/>
      <c r="D66" s="31"/>
    </row>
    <row r="67" spans="1:4" x14ac:dyDescent="0.35">
      <c r="A67" s="3" t="s">
        <v>63</v>
      </c>
      <c r="B67" s="3" t="s">
        <v>64</v>
      </c>
      <c r="C67" s="3" t="s">
        <v>65</v>
      </c>
    </row>
    <row r="68" spans="1:4" x14ac:dyDescent="0.35">
      <c r="A68" s="4" t="s">
        <v>123</v>
      </c>
      <c r="B68" s="5">
        <v>23451.39</v>
      </c>
      <c r="C68" s="5">
        <v>20333.12</v>
      </c>
      <c r="D68" s="15"/>
    </row>
    <row r="69" spans="1:4" x14ac:dyDescent="0.35">
      <c r="A69" s="2" t="s">
        <v>124</v>
      </c>
      <c r="B69" s="7">
        <v>15994.49</v>
      </c>
      <c r="C69" s="7">
        <v>14728.23</v>
      </c>
      <c r="D69" s="14"/>
    </row>
    <row r="70" spans="1:4" x14ac:dyDescent="0.35">
      <c r="A70" s="11" t="s">
        <v>125</v>
      </c>
      <c r="B70" s="12">
        <v>39445.879999999997</v>
      </c>
      <c r="C70" s="12">
        <v>35061.35</v>
      </c>
      <c r="D70" s="13"/>
    </row>
    <row r="71" spans="1:4" x14ac:dyDescent="0.35">
      <c r="A71" s="2" t="s">
        <v>126</v>
      </c>
      <c r="B71" s="7">
        <v>1285</v>
      </c>
      <c r="C71" s="7">
        <v>627.51</v>
      </c>
      <c r="D71" s="14"/>
    </row>
    <row r="72" spans="1:4" x14ac:dyDescent="0.35">
      <c r="A72" s="4" t="s">
        <v>127</v>
      </c>
      <c r="B72" s="5">
        <v>16196.07</v>
      </c>
      <c r="C72" s="5">
        <v>12582.24</v>
      </c>
      <c r="D72" s="15"/>
    </row>
    <row r="73" spans="1:4" x14ac:dyDescent="0.35">
      <c r="A73" s="2" t="s">
        <v>128</v>
      </c>
      <c r="B73" s="7">
        <v>7641.62</v>
      </c>
      <c r="C73" s="7">
        <v>5618.55</v>
      </c>
      <c r="D73" s="14"/>
    </row>
    <row r="74" spans="1:4" x14ac:dyDescent="0.35">
      <c r="A74" s="4" t="s">
        <v>129</v>
      </c>
      <c r="B74" s="5">
        <v>5467.48</v>
      </c>
      <c r="C74" s="5">
        <v>5738.39</v>
      </c>
      <c r="D74" s="15"/>
    </row>
    <row r="75" spans="1:4" x14ac:dyDescent="0.35">
      <c r="A75" s="2" t="s">
        <v>130</v>
      </c>
      <c r="B75" s="7">
        <v>59101.09</v>
      </c>
      <c r="C75" s="7">
        <v>48151.26</v>
      </c>
      <c r="D75" s="14"/>
    </row>
    <row r="77" spans="1:4" x14ac:dyDescent="0.35">
      <c r="A77" s="36" t="s">
        <v>131</v>
      </c>
      <c r="B77" s="31"/>
      <c r="C77" s="31"/>
      <c r="D77" s="31"/>
    </row>
    <row r="78" spans="1:4" x14ac:dyDescent="0.35">
      <c r="A78" s="3" t="s">
        <v>63</v>
      </c>
      <c r="B78" s="3" t="s">
        <v>64</v>
      </c>
      <c r="C78" s="3" t="s">
        <v>65</v>
      </c>
    </row>
    <row r="79" spans="1:4" x14ac:dyDescent="0.35">
      <c r="A79" s="4" t="s">
        <v>123</v>
      </c>
      <c r="B79" s="5">
        <v>14869.07</v>
      </c>
      <c r="C79" s="5">
        <v>12720.41</v>
      </c>
      <c r="D79" s="15"/>
    </row>
    <row r="80" spans="1:4" x14ac:dyDescent="0.35">
      <c r="A80" s="2" t="s">
        <v>124</v>
      </c>
      <c r="B80" s="7">
        <v>923.22</v>
      </c>
      <c r="C80" s="7">
        <v>832.73</v>
      </c>
      <c r="D80" s="14"/>
    </row>
    <row r="81" spans="1:4" x14ac:dyDescent="0.35">
      <c r="A81" s="11" t="s">
        <v>132</v>
      </c>
      <c r="B81" s="12">
        <v>15792.29</v>
      </c>
      <c r="C81" s="12">
        <v>13553.14</v>
      </c>
      <c r="D81" s="13"/>
    </row>
    <row r="82" spans="1:4" x14ac:dyDescent="0.35">
      <c r="A82" s="2" t="s">
        <v>126</v>
      </c>
      <c r="B82" s="7">
        <v>-183.09</v>
      </c>
      <c r="C82" s="7">
        <v>-534.91</v>
      </c>
      <c r="D82" s="14"/>
    </row>
    <row r="83" spans="1:4" x14ac:dyDescent="0.35">
      <c r="A83" s="4" t="s">
        <v>127</v>
      </c>
      <c r="B83" s="5">
        <v>1031.1500000000001</v>
      </c>
      <c r="C83" s="5">
        <v>820.74</v>
      </c>
      <c r="D83" s="15"/>
    </row>
    <row r="84" spans="1:4" x14ac:dyDescent="0.35">
      <c r="A84" s="2" t="s">
        <v>128</v>
      </c>
      <c r="B84" s="7">
        <v>1700</v>
      </c>
      <c r="C84" s="7">
        <v>1098.68</v>
      </c>
      <c r="D84" s="14"/>
    </row>
    <row r="85" spans="1:4" x14ac:dyDescent="0.35">
      <c r="A85" s="11" t="s">
        <v>133</v>
      </c>
      <c r="B85" s="12">
        <v>18340.349999999999</v>
      </c>
      <c r="C85" s="12">
        <v>14937.65</v>
      </c>
      <c r="D85" s="13"/>
    </row>
    <row r="86" spans="1:4" x14ac:dyDescent="0.35">
      <c r="A86" s="11" t="s">
        <v>134</v>
      </c>
      <c r="B86" s="12">
        <v>19829.53</v>
      </c>
      <c r="C86" s="12">
        <v>17164.189999999999</v>
      </c>
      <c r="D86" s="13"/>
    </row>
  </sheetData>
  <mergeCells count="6">
    <mergeCell ref="A1:D1"/>
    <mergeCell ref="A53:D53"/>
    <mergeCell ref="A77:D77"/>
    <mergeCell ref="A25:D25"/>
    <mergeCell ref="A2:D2"/>
    <mergeCell ref="A66:D6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F65"/>
  <sheetViews>
    <sheetView workbookViewId="0">
      <pane xSplit="1" ySplit="2" topLeftCell="B3" activePane="bottomRight" state="frozen"/>
      <selection pane="topRight"/>
      <selection pane="bottomLeft"/>
      <selection pane="bottomRight" sqref="A1:D1"/>
    </sheetView>
  </sheetViews>
  <sheetFormatPr defaultRowHeight="14.5" x14ac:dyDescent="0.35"/>
  <cols>
    <col min="1" max="1" width="38" customWidth="1"/>
    <col min="2" max="4" width="16" customWidth="1"/>
  </cols>
  <sheetData>
    <row r="1" spans="1:4" ht="32" customHeight="1" x14ac:dyDescent="0.35">
      <c r="A1" s="32" t="s">
        <v>135</v>
      </c>
      <c r="B1" s="31"/>
      <c r="C1" s="31"/>
      <c r="D1" s="31"/>
    </row>
    <row r="2" spans="1:4" ht="22" customHeight="1" x14ac:dyDescent="0.35">
      <c r="A2" s="36" t="s">
        <v>136</v>
      </c>
      <c r="B2" s="31"/>
      <c r="C2" s="31"/>
      <c r="D2" s="31"/>
    </row>
    <row r="3" spans="1:4" ht="20" customHeight="1" x14ac:dyDescent="0.35">
      <c r="A3" s="3" t="s">
        <v>63</v>
      </c>
      <c r="B3" s="3" t="s">
        <v>137</v>
      </c>
      <c r="C3" s="3" t="s">
        <v>138</v>
      </c>
    </row>
    <row r="4" spans="1:4" ht="17" customHeight="1" x14ac:dyDescent="0.35">
      <c r="A4" s="4" t="s">
        <v>139</v>
      </c>
      <c r="B4" s="5">
        <v>13994.15</v>
      </c>
      <c r="C4" s="5">
        <v>12642.77</v>
      </c>
      <c r="D4" s="15"/>
    </row>
    <row r="5" spans="1:4" ht="17" customHeight="1" x14ac:dyDescent="0.35">
      <c r="A5" s="2" t="s">
        <v>140</v>
      </c>
      <c r="B5" s="7">
        <v>639.57000000000005</v>
      </c>
      <c r="C5" s="7">
        <v>647.39</v>
      </c>
      <c r="D5" s="14"/>
    </row>
    <row r="6" spans="1:4" ht="17" customHeight="1" x14ac:dyDescent="0.35">
      <c r="A6" s="11" t="s">
        <v>141</v>
      </c>
      <c r="B6" s="12">
        <v>14709.41</v>
      </c>
      <c r="C6" s="12">
        <v>13390.03</v>
      </c>
      <c r="D6" s="13"/>
    </row>
    <row r="7" spans="1:4" ht="17" customHeight="1" x14ac:dyDescent="0.35">
      <c r="A7" s="2" t="s">
        <v>142</v>
      </c>
      <c r="B7" s="7">
        <v>75.69</v>
      </c>
      <c r="C7" s="7">
        <v>59.87</v>
      </c>
      <c r="D7" s="14"/>
    </row>
    <row r="8" spans="1:4" ht="17" customHeight="1" x14ac:dyDescent="0.35">
      <c r="A8" s="11" t="s">
        <v>143</v>
      </c>
      <c r="B8" s="12">
        <v>14785.1</v>
      </c>
      <c r="C8" s="12">
        <v>13449.9</v>
      </c>
      <c r="D8" s="13"/>
    </row>
    <row r="9" spans="1:4" ht="17" customHeight="1" x14ac:dyDescent="0.35">
      <c r="A9" s="2" t="s">
        <v>69</v>
      </c>
      <c r="B9" s="7">
        <v>120.11</v>
      </c>
      <c r="C9" s="7">
        <v>145.85</v>
      </c>
      <c r="D9" s="14"/>
    </row>
    <row r="10" spans="1:4" ht="17" customHeight="1" x14ac:dyDescent="0.35">
      <c r="A10" s="11" t="s">
        <v>70</v>
      </c>
      <c r="B10" s="12">
        <v>14905.1</v>
      </c>
      <c r="C10" s="12">
        <v>13595.75</v>
      </c>
      <c r="D10" s="13"/>
    </row>
    <row r="11" spans="1:4" ht="17" customHeight="1" x14ac:dyDescent="0.35">
      <c r="A11" s="2" t="s">
        <v>71</v>
      </c>
      <c r="B11" s="9"/>
      <c r="C11" s="9"/>
      <c r="D11" s="14"/>
    </row>
    <row r="12" spans="1:4" ht="17" customHeight="1" x14ac:dyDescent="0.35">
      <c r="A12" s="4" t="s">
        <v>72</v>
      </c>
      <c r="B12" s="5">
        <v>6154.1</v>
      </c>
      <c r="C12" s="5">
        <v>5554.24</v>
      </c>
      <c r="D12" s="15"/>
    </row>
    <row r="13" spans="1:4" ht="17" customHeight="1" x14ac:dyDescent="0.35">
      <c r="A13" s="2" t="s">
        <v>144</v>
      </c>
      <c r="B13" s="7">
        <v>227.52</v>
      </c>
      <c r="C13" s="7">
        <v>189</v>
      </c>
      <c r="D13" s="14"/>
    </row>
    <row r="14" spans="1:4" ht="17" customHeight="1" x14ac:dyDescent="0.35">
      <c r="A14" s="4" t="s">
        <v>74</v>
      </c>
      <c r="B14" s="5">
        <v>-62.7</v>
      </c>
      <c r="C14" s="5">
        <v>-69.33</v>
      </c>
      <c r="D14" s="15"/>
    </row>
    <row r="15" spans="1:4" ht="17" customHeight="1" x14ac:dyDescent="0.35">
      <c r="A15" s="2" t="s">
        <v>76</v>
      </c>
      <c r="B15" s="7">
        <v>1521.3</v>
      </c>
      <c r="C15" s="7">
        <v>1500.95</v>
      </c>
      <c r="D15" s="14"/>
    </row>
    <row r="16" spans="1:4" ht="17" customHeight="1" x14ac:dyDescent="0.35">
      <c r="A16" s="4" t="s">
        <v>77</v>
      </c>
      <c r="B16" s="5">
        <v>201.19</v>
      </c>
      <c r="C16" s="5">
        <v>164.18</v>
      </c>
      <c r="D16" s="15"/>
    </row>
    <row r="17" spans="1:4" ht="17" customHeight="1" x14ac:dyDescent="0.35">
      <c r="A17" s="2" t="s">
        <v>145</v>
      </c>
      <c r="B17" s="7">
        <v>390.19</v>
      </c>
      <c r="C17" s="7">
        <v>370.38</v>
      </c>
      <c r="D17" s="14"/>
    </row>
    <row r="18" spans="1:4" ht="17" customHeight="1" x14ac:dyDescent="0.35">
      <c r="A18" s="4" t="s">
        <v>79</v>
      </c>
      <c r="B18" s="5">
        <v>3248.2</v>
      </c>
      <c r="C18" s="5">
        <v>2913.28</v>
      </c>
      <c r="D18" s="15"/>
    </row>
    <row r="19" spans="1:4" ht="17" customHeight="1" x14ac:dyDescent="0.35">
      <c r="A19" s="2" t="s">
        <v>146</v>
      </c>
      <c r="B19" s="7">
        <v>53.4</v>
      </c>
      <c r="C19" s="7">
        <v>46.42</v>
      </c>
      <c r="D19" s="14"/>
    </row>
    <row r="20" spans="1:4" ht="17" customHeight="1" x14ac:dyDescent="0.35">
      <c r="A20" s="11" t="s">
        <v>80</v>
      </c>
      <c r="B20" s="12">
        <v>11719.25</v>
      </c>
      <c r="C20" s="12">
        <v>10769.12</v>
      </c>
      <c r="D20" s="13"/>
    </row>
    <row r="21" spans="1:4" ht="17" customHeight="1" x14ac:dyDescent="0.35">
      <c r="A21" s="11" t="s">
        <v>147</v>
      </c>
      <c r="B21" s="12">
        <v>3120.27</v>
      </c>
      <c r="C21" s="12">
        <v>2812.79</v>
      </c>
      <c r="D21" s="13"/>
    </row>
    <row r="22" spans="1:4" ht="17" customHeight="1" x14ac:dyDescent="0.35">
      <c r="A22" s="4" t="s">
        <v>148</v>
      </c>
      <c r="B22" s="5">
        <v>236.5</v>
      </c>
      <c r="C22" s="5">
        <v>0</v>
      </c>
      <c r="D22" s="15"/>
    </row>
    <row r="23" spans="1:4" ht="17" customHeight="1" x14ac:dyDescent="0.35">
      <c r="A23" s="11" t="s">
        <v>81</v>
      </c>
      <c r="B23" s="12">
        <v>2883.77</v>
      </c>
      <c r="C23" s="12">
        <v>2812.79</v>
      </c>
      <c r="D23" s="13"/>
    </row>
    <row r="24" spans="1:4" ht="17" customHeight="1" x14ac:dyDescent="0.35">
      <c r="A24" s="4" t="s">
        <v>82</v>
      </c>
      <c r="B24" s="5">
        <v>738.91</v>
      </c>
      <c r="C24" s="5">
        <v>730.36</v>
      </c>
      <c r="D24" s="15"/>
    </row>
    <row r="25" spans="1:4" ht="17" customHeight="1" x14ac:dyDescent="0.35">
      <c r="A25" s="11" t="s">
        <v>149</v>
      </c>
      <c r="B25" s="12">
        <v>2144.86</v>
      </c>
      <c r="C25" s="12">
        <v>2082.4299999999998</v>
      </c>
      <c r="D25" s="13"/>
    </row>
    <row r="26" spans="1:4" ht="17" customHeight="1" x14ac:dyDescent="0.35">
      <c r="A26" s="4" t="s">
        <v>85</v>
      </c>
      <c r="B26" s="5">
        <v>222.5</v>
      </c>
      <c r="C26" s="5">
        <v>216</v>
      </c>
      <c r="D26" s="15"/>
    </row>
    <row r="27" spans="1:4" ht="17" customHeight="1" x14ac:dyDescent="0.35">
      <c r="A27" s="2" t="s">
        <v>150</v>
      </c>
      <c r="B27" s="7">
        <v>200</v>
      </c>
      <c r="C27" s="7">
        <v>200</v>
      </c>
      <c r="D27" s="14"/>
    </row>
    <row r="29" spans="1:4" ht="22" customHeight="1" x14ac:dyDescent="0.35">
      <c r="A29" s="36" t="s">
        <v>151</v>
      </c>
      <c r="B29" s="31"/>
      <c r="C29" s="31"/>
      <c r="D29" s="31"/>
    </row>
    <row r="30" spans="1:4" ht="20" customHeight="1" x14ac:dyDescent="0.35">
      <c r="A30" s="3" t="s">
        <v>63</v>
      </c>
      <c r="B30" s="3" t="s">
        <v>137</v>
      </c>
      <c r="C30" s="3" t="s">
        <v>138</v>
      </c>
    </row>
    <row r="31" spans="1:4" ht="17" customHeight="1" x14ac:dyDescent="0.35">
      <c r="A31" s="4" t="s">
        <v>87</v>
      </c>
      <c r="B31" s="16"/>
      <c r="C31" s="16"/>
      <c r="D31" s="15"/>
    </row>
    <row r="32" spans="1:4" ht="17" customHeight="1" x14ac:dyDescent="0.35">
      <c r="A32" s="2" t="s">
        <v>88</v>
      </c>
      <c r="B32" s="7">
        <v>2652.94</v>
      </c>
      <c r="C32" s="7">
        <v>1968</v>
      </c>
      <c r="D32" s="14"/>
    </row>
    <row r="33" spans="1:4" ht="17" customHeight="1" x14ac:dyDescent="0.35">
      <c r="A33" s="4" t="s">
        <v>89</v>
      </c>
      <c r="B33" s="5">
        <v>246.23</v>
      </c>
      <c r="C33" s="5">
        <v>638.58000000000004</v>
      </c>
      <c r="D33" s="15"/>
    </row>
    <row r="34" spans="1:4" ht="17" customHeight="1" x14ac:dyDescent="0.35">
      <c r="A34" s="2" t="s">
        <v>152</v>
      </c>
      <c r="B34" s="7">
        <v>341.03</v>
      </c>
      <c r="C34" s="7">
        <v>211.41</v>
      </c>
      <c r="D34" s="14"/>
    </row>
    <row r="35" spans="1:4" ht="17" customHeight="1" x14ac:dyDescent="0.35">
      <c r="A35" s="4" t="s">
        <v>153</v>
      </c>
      <c r="B35" s="5">
        <v>710.7</v>
      </c>
      <c r="C35" s="5">
        <v>740.83</v>
      </c>
      <c r="D35" s="15"/>
    </row>
    <row r="36" spans="1:4" ht="17" customHeight="1" x14ac:dyDescent="0.35">
      <c r="A36" s="2" t="s">
        <v>93</v>
      </c>
      <c r="B36" s="7">
        <v>1445.34</v>
      </c>
      <c r="C36" s="7">
        <v>89.36</v>
      </c>
      <c r="D36" s="14"/>
    </row>
    <row r="37" spans="1:4" ht="17" customHeight="1" x14ac:dyDescent="0.35">
      <c r="A37" s="11" t="s">
        <v>94</v>
      </c>
      <c r="B37" s="12">
        <v>5471.17</v>
      </c>
      <c r="C37" s="12">
        <v>3714.65</v>
      </c>
      <c r="D37" s="13"/>
    </row>
    <row r="38" spans="1:4" ht="17" customHeight="1" x14ac:dyDescent="0.35">
      <c r="A38" s="2" t="s">
        <v>95</v>
      </c>
      <c r="B38" s="9"/>
      <c r="C38" s="9"/>
      <c r="D38" s="14"/>
    </row>
    <row r="39" spans="1:4" ht="17" customHeight="1" x14ac:dyDescent="0.35">
      <c r="A39" s="4" t="s">
        <v>96</v>
      </c>
      <c r="B39" s="5">
        <v>1580.22</v>
      </c>
      <c r="C39" s="5">
        <v>1416.48</v>
      </c>
      <c r="D39" s="15"/>
    </row>
    <row r="40" spans="1:4" ht="17" customHeight="1" x14ac:dyDescent="0.35">
      <c r="A40" s="2" t="s">
        <v>97</v>
      </c>
      <c r="B40" s="7">
        <v>165.27</v>
      </c>
      <c r="C40" s="7">
        <v>164.93</v>
      </c>
      <c r="D40" s="14"/>
    </row>
    <row r="41" spans="1:4" ht="17" customHeight="1" x14ac:dyDescent="0.35">
      <c r="A41" s="4" t="s">
        <v>98</v>
      </c>
      <c r="B41" s="5">
        <v>718.53</v>
      </c>
      <c r="C41" s="5">
        <v>1754.8</v>
      </c>
      <c r="D41" s="15"/>
    </row>
    <row r="42" spans="1:4" ht="17" customHeight="1" x14ac:dyDescent="0.35">
      <c r="A42" s="2" t="s">
        <v>154</v>
      </c>
      <c r="B42" s="7">
        <v>63.28</v>
      </c>
      <c r="C42" s="7">
        <v>722.94</v>
      </c>
      <c r="D42" s="14"/>
    </row>
    <row r="43" spans="1:4" ht="17" customHeight="1" x14ac:dyDescent="0.35">
      <c r="A43" s="4" t="s">
        <v>101</v>
      </c>
      <c r="B43" s="5">
        <v>170.1</v>
      </c>
      <c r="C43" s="5">
        <v>164.71</v>
      </c>
      <c r="D43" s="15"/>
    </row>
    <row r="44" spans="1:4" ht="17" customHeight="1" x14ac:dyDescent="0.35">
      <c r="A44" s="11" t="s">
        <v>102</v>
      </c>
      <c r="B44" s="12">
        <v>2738.76</v>
      </c>
      <c r="C44" s="12">
        <v>4185.08</v>
      </c>
      <c r="D44" s="13"/>
    </row>
    <row r="45" spans="1:4" ht="17" customHeight="1" x14ac:dyDescent="0.35">
      <c r="A45" s="11" t="s">
        <v>103</v>
      </c>
      <c r="B45" s="12">
        <v>8209.93</v>
      </c>
      <c r="C45" s="12">
        <v>7899.73</v>
      </c>
      <c r="D45" s="13"/>
    </row>
    <row r="46" spans="1:4" ht="17" customHeight="1" x14ac:dyDescent="0.35">
      <c r="A46" s="2" t="s">
        <v>104</v>
      </c>
      <c r="B46" s="9"/>
      <c r="C46" s="9"/>
      <c r="D46" s="14"/>
    </row>
    <row r="47" spans="1:4" ht="17" customHeight="1" x14ac:dyDescent="0.35">
      <c r="A47" s="4" t="s">
        <v>105</v>
      </c>
      <c r="B47" s="5">
        <v>96.42</v>
      </c>
      <c r="C47" s="5">
        <v>96.42</v>
      </c>
      <c r="D47" s="15"/>
    </row>
    <row r="48" spans="1:4" ht="17" customHeight="1" x14ac:dyDescent="0.35">
      <c r="A48" s="2" t="s">
        <v>106</v>
      </c>
      <c r="B48" s="7">
        <v>1988.06</v>
      </c>
      <c r="C48" s="7">
        <v>1922.92</v>
      </c>
      <c r="D48" s="14"/>
    </row>
    <row r="49" spans="1:6" ht="17" customHeight="1" x14ac:dyDescent="0.35">
      <c r="A49" s="11" t="s">
        <v>107</v>
      </c>
      <c r="B49" s="12">
        <v>2084.48</v>
      </c>
      <c r="C49" s="12">
        <v>2019.34</v>
      </c>
      <c r="D49" s="13"/>
    </row>
    <row r="50" spans="1:6" ht="17" customHeight="1" x14ac:dyDescent="0.35">
      <c r="A50" s="2" t="s">
        <v>108</v>
      </c>
      <c r="B50" s="9"/>
      <c r="C50" s="9"/>
      <c r="D50" s="14"/>
    </row>
    <row r="51" spans="1:6" ht="17" customHeight="1" x14ac:dyDescent="0.35">
      <c r="A51" s="4" t="s">
        <v>155</v>
      </c>
      <c r="B51" s="5">
        <v>3522.21</v>
      </c>
      <c r="C51" s="5">
        <v>3387.84</v>
      </c>
      <c r="D51" s="15"/>
    </row>
    <row r="52" spans="1:6" ht="17" customHeight="1" x14ac:dyDescent="0.35">
      <c r="A52" s="2" t="s">
        <v>110</v>
      </c>
      <c r="B52" s="7">
        <v>2603.2399999999998</v>
      </c>
      <c r="C52" s="7">
        <v>2492.5500000000002</v>
      </c>
      <c r="D52" s="14"/>
    </row>
    <row r="53" spans="1:6" ht="17" customHeight="1" x14ac:dyDescent="0.35">
      <c r="A53" s="11" t="s">
        <v>111</v>
      </c>
      <c r="B53" s="12">
        <v>8209.93</v>
      </c>
      <c r="C53" s="12">
        <v>7899.73</v>
      </c>
      <c r="D53" s="13"/>
    </row>
    <row r="55" spans="1:6" ht="22" customHeight="1" x14ac:dyDescent="0.35">
      <c r="A55" s="36" t="s">
        <v>156</v>
      </c>
      <c r="B55" s="31"/>
      <c r="C55" s="31"/>
      <c r="D55" s="31"/>
    </row>
    <row r="56" spans="1:6" ht="20" customHeight="1" x14ac:dyDescent="0.35">
      <c r="A56" s="3" t="s">
        <v>63</v>
      </c>
      <c r="B56" s="3" t="s">
        <v>137</v>
      </c>
      <c r="C56" s="3" t="s">
        <v>138</v>
      </c>
      <c r="D56" s="3" t="s">
        <v>157</v>
      </c>
      <c r="E56" s="3" t="s">
        <v>158</v>
      </c>
      <c r="F56" s="3" t="s">
        <v>159</v>
      </c>
    </row>
    <row r="57" spans="1:6" ht="17" customHeight="1" x14ac:dyDescent="0.35">
      <c r="A57" s="4" t="s">
        <v>160</v>
      </c>
      <c r="B57" s="5">
        <v>14633.72</v>
      </c>
      <c r="C57" s="5">
        <v>13290.16</v>
      </c>
      <c r="D57" s="5">
        <v>12295.3</v>
      </c>
      <c r="E57" s="17">
        <v>11216.2</v>
      </c>
      <c r="F57" s="17">
        <v>10135.1</v>
      </c>
    </row>
    <row r="58" spans="1:6" ht="17" customHeight="1" x14ac:dyDescent="0.35">
      <c r="A58" s="2" t="s">
        <v>161</v>
      </c>
      <c r="B58" s="7">
        <v>3254.8</v>
      </c>
      <c r="C58" s="7">
        <v>2877.5</v>
      </c>
      <c r="D58" s="7">
        <v>2594</v>
      </c>
      <c r="E58" s="17">
        <v>2350.9</v>
      </c>
      <c r="F58" s="17">
        <v>1830.5</v>
      </c>
    </row>
    <row r="59" spans="1:6" ht="17" customHeight="1" x14ac:dyDescent="0.35">
      <c r="A59" s="4" t="s">
        <v>162</v>
      </c>
      <c r="B59" s="18">
        <v>0.2225</v>
      </c>
      <c r="C59" s="18">
        <v>0.2165</v>
      </c>
      <c r="D59" s="18">
        <v>0.21099999999999999</v>
      </c>
      <c r="E59" s="19">
        <v>0.20949999999999999</v>
      </c>
      <c r="F59" s="19">
        <v>0.18060000000000001</v>
      </c>
    </row>
    <row r="60" spans="1:6" ht="17" customHeight="1" x14ac:dyDescent="0.35">
      <c r="A60" s="11" t="s">
        <v>163</v>
      </c>
      <c r="B60" s="12">
        <v>2144.86</v>
      </c>
      <c r="C60" s="12">
        <v>2082.4299999999998</v>
      </c>
      <c r="D60" s="12">
        <v>1968.4</v>
      </c>
      <c r="E60" s="20">
        <v>1606.9</v>
      </c>
      <c r="F60" s="20">
        <v>1225.2</v>
      </c>
    </row>
    <row r="61" spans="1:6" ht="17" customHeight="1" x14ac:dyDescent="0.35">
      <c r="A61" s="11" t="s">
        <v>38</v>
      </c>
      <c r="B61" s="21">
        <v>0.14660000000000001</v>
      </c>
      <c r="C61" s="21">
        <v>0.15670000000000001</v>
      </c>
      <c r="D61" s="21">
        <v>0.16009999999999999</v>
      </c>
      <c r="E61" s="22">
        <v>0.14319999999999999</v>
      </c>
      <c r="F61" s="22">
        <v>0.12089999999999999</v>
      </c>
    </row>
    <row r="62" spans="1:6" ht="17" customHeight="1" x14ac:dyDescent="0.35">
      <c r="A62" s="2" t="s">
        <v>164</v>
      </c>
      <c r="B62" s="7">
        <v>2271.4</v>
      </c>
      <c r="C62" s="7">
        <v>2454.5</v>
      </c>
      <c r="D62" s="7">
        <v>2295.3000000000002</v>
      </c>
      <c r="E62" s="17">
        <v>2052.5</v>
      </c>
      <c r="F62" s="17">
        <v>1817.8</v>
      </c>
    </row>
    <row r="63" spans="1:6" ht="17" customHeight="1" x14ac:dyDescent="0.35">
      <c r="A63" s="4" t="s">
        <v>165</v>
      </c>
      <c r="B63" s="5">
        <v>730.8</v>
      </c>
      <c r="C63" s="5">
        <v>474.1</v>
      </c>
      <c r="D63" s="5">
        <v>152.19999999999999</v>
      </c>
      <c r="E63" s="17">
        <v>162.80000000000001</v>
      </c>
      <c r="F63" s="17">
        <v>195.9</v>
      </c>
    </row>
    <row r="64" spans="1:6" ht="17" customHeight="1" x14ac:dyDescent="0.35">
      <c r="A64" s="2" t="s">
        <v>40</v>
      </c>
      <c r="B64" s="7">
        <v>222.5</v>
      </c>
      <c r="C64" s="7">
        <v>216</v>
      </c>
      <c r="D64" s="7">
        <v>204.2</v>
      </c>
      <c r="E64" s="17">
        <v>166.7</v>
      </c>
      <c r="F64" s="17">
        <v>127.1</v>
      </c>
    </row>
    <row r="65" spans="1:6" ht="17" customHeight="1" x14ac:dyDescent="0.35">
      <c r="A65" s="4" t="s">
        <v>150</v>
      </c>
      <c r="B65" s="5">
        <v>200</v>
      </c>
      <c r="C65" s="5">
        <v>200</v>
      </c>
      <c r="D65" s="5">
        <v>342</v>
      </c>
      <c r="E65" s="17">
        <v>115</v>
      </c>
      <c r="F65" s="17">
        <v>86</v>
      </c>
    </row>
  </sheetData>
  <mergeCells count="4">
    <mergeCell ref="A55:D55"/>
    <mergeCell ref="A1:D1"/>
    <mergeCell ref="A29:D29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D64"/>
  <sheetViews>
    <sheetView workbookViewId="0">
      <pane xSplit="1" ySplit="2" topLeftCell="B3" activePane="bottomRight" state="frozen"/>
      <selection pane="topRight"/>
      <selection pane="bottomLeft"/>
      <selection pane="bottomRight" sqref="A1:D1"/>
    </sheetView>
  </sheetViews>
  <sheetFormatPr defaultRowHeight="14.5" x14ac:dyDescent="0.35"/>
  <cols>
    <col min="1" max="1" width="38" customWidth="1"/>
    <col min="2" max="4" width="16" customWidth="1"/>
  </cols>
  <sheetData>
    <row r="1" spans="1:4" ht="32" customHeight="1" x14ac:dyDescent="0.35">
      <c r="A1" s="32" t="s">
        <v>166</v>
      </c>
      <c r="B1" s="31"/>
      <c r="C1" s="31"/>
      <c r="D1" s="31"/>
    </row>
    <row r="2" spans="1:4" ht="22" customHeight="1" x14ac:dyDescent="0.35">
      <c r="A2" s="36" t="s">
        <v>62</v>
      </c>
      <c r="B2" s="31"/>
      <c r="C2" s="31"/>
      <c r="D2" s="31"/>
    </row>
    <row r="3" spans="1:4" ht="20" customHeight="1" x14ac:dyDescent="0.35">
      <c r="A3" s="3" t="s">
        <v>63</v>
      </c>
      <c r="B3" s="3" t="s">
        <v>64</v>
      </c>
      <c r="C3" s="3" t="s">
        <v>65</v>
      </c>
    </row>
    <row r="4" spans="1:4" ht="17" customHeight="1" x14ac:dyDescent="0.35">
      <c r="A4" s="11" t="s">
        <v>66</v>
      </c>
      <c r="B4" s="12">
        <v>51193</v>
      </c>
      <c r="C4" s="12">
        <v>45996</v>
      </c>
      <c r="D4" s="13"/>
    </row>
    <row r="5" spans="1:4" ht="17" customHeight="1" x14ac:dyDescent="0.35">
      <c r="A5" s="2" t="s">
        <v>167</v>
      </c>
      <c r="B5" s="7">
        <v>393</v>
      </c>
      <c r="C5" s="7">
        <v>513</v>
      </c>
      <c r="D5" s="14"/>
    </row>
    <row r="6" spans="1:4" ht="17" customHeight="1" x14ac:dyDescent="0.35">
      <c r="A6" s="11" t="s">
        <v>70</v>
      </c>
      <c r="B6" s="12">
        <v>51586</v>
      </c>
      <c r="C6" s="12">
        <v>46509</v>
      </c>
      <c r="D6" s="13"/>
    </row>
    <row r="7" spans="1:4" ht="17" customHeight="1" x14ac:dyDescent="0.35">
      <c r="A7" s="2" t="s">
        <v>71</v>
      </c>
      <c r="B7" s="9"/>
      <c r="C7" s="9"/>
      <c r="D7" s="14"/>
    </row>
    <row r="8" spans="1:4" ht="17" customHeight="1" x14ac:dyDescent="0.35">
      <c r="A8" s="4" t="s">
        <v>72</v>
      </c>
      <c r="B8" s="5">
        <v>15869</v>
      </c>
      <c r="C8" s="5">
        <v>14951</v>
      </c>
      <c r="D8" s="15"/>
    </row>
    <row r="9" spans="1:4" ht="17" customHeight="1" x14ac:dyDescent="0.35">
      <c r="A9" s="2" t="s">
        <v>73</v>
      </c>
      <c r="B9" s="7">
        <v>9274</v>
      </c>
      <c r="C9" s="7">
        <v>7117</v>
      </c>
      <c r="D9" s="14"/>
    </row>
    <row r="10" spans="1:4" ht="17" customHeight="1" x14ac:dyDescent="0.35">
      <c r="A10" s="4" t="s">
        <v>74</v>
      </c>
      <c r="B10" s="5">
        <v>-19</v>
      </c>
      <c r="C10" s="5">
        <v>-391</v>
      </c>
      <c r="D10" s="15"/>
    </row>
    <row r="11" spans="1:4" ht="17" customHeight="1" x14ac:dyDescent="0.35">
      <c r="A11" s="2" t="s">
        <v>76</v>
      </c>
      <c r="B11" s="7">
        <v>2399</v>
      </c>
      <c r="C11" s="7">
        <v>2229</v>
      </c>
      <c r="D11" s="14"/>
    </row>
    <row r="12" spans="1:4" ht="17" customHeight="1" x14ac:dyDescent="0.35">
      <c r="A12" s="4" t="s">
        <v>77</v>
      </c>
      <c r="B12" s="5">
        <v>98</v>
      </c>
      <c r="C12" s="5">
        <v>108</v>
      </c>
      <c r="D12" s="15"/>
    </row>
    <row r="13" spans="1:4" ht="17" customHeight="1" x14ac:dyDescent="0.35">
      <c r="A13" s="2" t="s">
        <v>78</v>
      </c>
      <c r="B13" s="7">
        <v>1025</v>
      </c>
      <c r="C13" s="7">
        <v>1012</v>
      </c>
      <c r="D13" s="14"/>
    </row>
    <row r="14" spans="1:4" ht="17" customHeight="1" x14ac:dyDescent="0.35">
      <c r="A14" s="4" t="s">
        <v>79</v>
      </c>
      <c r="B14" s="5">
        <v>11167</v>
      </c>
      <c r="C14" s="5">
        <v>10766</v>
      </c>
      <c r="D14" s="15"/>
    </row>
    <row r="15" spans="1:4" ht="17" customHeight="1" x14ac:dyDescent="0.35">
      <c r="A15" s="11" t="s">
        <v>80</v>
      </c>
      <c r="B15" s="12">
        <v>39813</v>
      </c>
      <c r="C15" s="12">
        <v>35792</v>
      </c>
      <c r="D15" s="13"/>
    </row>
    <row r="16" spans="1:4" ht="17" customHeight="1" x14ac:dyDescent="0.35">
      <c r="A16" s="4" t="s">
        <v>168</v>
      </c>
      <c r="B16" s="5">
        <v>11773</v>
      </c>
      <c r="C16" s="5">
        <v>10717</v>
      </c>
      <c r="D16" s="15"/>
    </row>
    <row r="17" spans="1:4" ht="17" customHeight="1" x14ac:dyDescent="0.35">
      <c r="A17" s="2" t="s">
        <v>148</v>
      </c>
      <c r="B17" s="7">
        <v>-34</v>
      </c>
      <c r="C17" s="7">
        <v>-227</v>
      </c>
      <c r="D17" s="14"/>
    </row>
    <row r="18" spans="1:4" ht="17" customHeight="1" x14ac:dyDescent="0.35">
      <c r="A18" s="11" t="s">
        <v>81</v>
      </c>
      <c r="B18" s="12">
        <v>11739</v>
      </c>
      <c r="C18" s="12">
        <v>10490</v>
      </c>
      <c r="D18" s="13"/>
    </row>
    <row r="19" spans="1:4" ht="17" customHeight="1" x14ac:dyDescent="0.35">
      <c r="A19" s="2" t="s">
        <v>169</v>
      </c>
      <c r="B19" s="7">
        <v>-2778</v>
      </c>
      <c r="C19" s="7">
        <v>-2458</v>
      </c>
      <c r="D19" s="14"/>
    </row>
    <row r="20" spans="1:4" ht="17" customHeight="1" x14ac:dyDescent="0.35">
      <c r="A20" s="4" t="s">
        <v>170</v>
      </c>
      <c r="B20" s="5">
        <v>-143</v>
      </c>
      <c r="C20" s="5">
        <v>-78</v>
      </c>
      <c r="D20" s="15"/>
    </row>
    <row r="21" spans="1:4" ht="17" customHeight="1" x14ac:dyDescent="0.35">
      <c r="A21" s="11" t="s">
        <v>171</v>
      </c>
      <c r="B21" s="12">
        <v>8818</v>
      </c>
      <c r="C21" s="12">
        <v>7954</v>
      </c>
      <c r="D21" s="13"/>
    </row>
    <row r="22" spans="1:4" ht="17" customHeight="1" x14ac:dyDescent="0.35">
      <c r="A22" s="4" t="s">
        <v>172</v>
      </c>
      <c r="B22" s="5">
        <v>115</v>
      </c>
      <c r="C22" s="5">
        <v>21</v>
      </c>
      <c r="D22" s="15"/>
    </row>
    <row r="23" spans="1:4" ht="17" customHeight="1" x14ac:dyDescent="0.35">
      <c r="A23" s="11" t="s">
        <v>84</v>
      </c>
      <c r="B23" s="12">
        <v>8933</v>
      </c>
      <c r="C23" s="12">
        <v>7975</v>
      </c>
      <c r="D23" s="13"/>
    </row>
    <row r="24" spans="1:4" ht="17" customHeight="1" x14ac:dyDescent="0.35">
      <c r="A24" s="4" t="s">
        <v>85</v>
      </c>
      <c r="B24" s="5">
        <v>37.53</v>
      </c>
      <c r="C24" s="5">
        <v>33.85</v>
      </c>
      <c r="D24" s="15"/>
    </row>
    <row r="25" spans="1:4" ht="17" customHeight="1" x14ac:dyDescent="0.35">
      <c r="A25" s="2" t="s">
        <v>150</v>
      </c>
      <c r="B25" s="7">
        <v>34</v>
      </c>
      <c r="C25" s="7">
        <v>35</v>
      </c>
      <c r="D25" s="14"/>
    </row>
    <row r="27" spans="1:4" ht="22" customHeight="1" x14ac:dyDescent="0.35">
      <c r="A27" s="36" t="s">
        <v>86</v>
      </c>
      <c r="B27" s="31"/>
      <c r="C27" s="31"/>
      <c r="D27" s="31"/>
    </row>
    <row r="28" spans="1:4" ht="20" customHeight="1" x14ac:dyDescent="0.35">
      <c r="A28" s="3" t="s">
        <v>63</v>
      </c>
      <c r="B28" s="3" t="s">
        <v>64</v>
      </c>
      <c r="C28" s="3" t="s">
        <v>65</v>
      </c>
    </row>
    <row r="29" spans="1:4" ht="17" customHeight="1" x14ac:dyDescent="0.35">
      <c r="A29" s="4" t="s">
        <v>87</v>
      </c>
      <c r="B29" s="16"/>
      <c r="C29" s="16"/>
      <c r="D29" s="15"/>
    </row>
    <row r="30" spans="1:4" ht="17" customHeight="1" x14ac:dyDescent="0.35">
      <c r="A30" s="2" t="s">
        <v>88</v>
      </c>
      <c r="B30" s="7">
        <v>5813</v>
      </c>
      <c r="C30" s="7">
        <v>5786</v>
      </c>
      <c r="D30" s="14"/>
    </row>
    <row r="31" spans="1:4" ht="17" customHeight="1" x14ac:dyDescent="0.35">
      <c r="A31" s="4" t="s">
        <v>89</v>
      </c>
      <c r="B31" s="5">
        <v>901</v>
      </c>
      <c r="C31" s="5">
        <v>623</v>
      </c>
      <c r="D31" s="15"/>
    </row>
    <row r="32" spans="1:4" ht="17" customHeight="1" x14ac:dyDescent="0.35">
      <c r="A32" s="2" t="s">
        <v>90</v>
      </c>
      <c r="B32" s="7">
        <v>17316</v>
      </c>
      <c r="C32" s="7">
        <v>17316</v>
      </c>
      <c r="D32" s="14"/>
    </row>
    <row r="33" spans="1:4" ht="17" customHeight="1" x14ac:dyDescent="0.35">
      <c r="A33" s="4" t="s">
        <v>173</v>
      </c>
      <c r="B33" s="5">
        <v>27905</v>
      </c>
      <c r="C33" s="5">
        <v>27925</v>
      </c>
      <c r="D33" s="15"/>
    </row>
    <row r="34" spans="1:4" ht="17" customHeight="1" x14ac:dyDescent="0.35">
      <c r="A34" s="2" t="s">
        <v>174</v>
      </c>
      <c r="B34" s="7">
        <v>610</v>
      </c>
      <c r="C34" s="7">
        <v>310</v>
      </c>
      <c r="D34" s="14"/>
    </row>
    <row r="35" spans="1:4" ht="17" customHeight="1" x14ac:dyDescent="0.35">
      <c r="A35" s="4" t="s">
        <v>175</v>
      </c>
      <c r="B35" s="5">
        <v>1263</v>
      </c>
      <c r="C35" s="5">
        <v>1135</v>
      </c>
      <c r="D35" s="15"/>
    </row>
    <row r="36" spans="1:4" ht="17" customHeight="1" x14ac:dyDescent="0.35">
      <c r="A36" s="2" t="s">
        <v>93</v>
      </c>
      <c r="B36" s="7">
        <v>175</v>
      </c>
      <c r="C36" s="7">
        <v>181</v>
      </c>
      <c r="D36" s="14"/>
    </row>
    <row r="37" spans="1:4" ht="17" customHeight="1" x14ac:dyDescent="0.35">
      <c r="A37" s="11" t="s">
        <v>94</v>
      </c>
      <c r="B37" s="12">
        <v>55090</v>
      </c>
      <c r="C37" s="12">
        <v>54476</v>
      </c>
      <c r="D37" s="13"/>
    </row>
    <row r="38" spans="1:4" ht="17" customHeight="1" x14ac:dyDescent="0.35">
      <c r="A38" s="2" t="s">
        <v>95</v>
      </c>
      <c r="B38" s="9"/>
      <c r="C38" s="9"/>
      <c r="D38" s="14"/>
    </row>
    <row r="39" spans="1:4" ht="17" customHeight="1" x14ac:dyDescent="0.35">
      <c r="A39" s="4" t="s">
        <v>96</v>
      </c>
      <c r="B39" s="5">
        <v>3890</v>
      </c>
      <c r="C39" s="5">
        <v>3383</v>
      </c>
      <c r="D39" s="15"/>
    </row>
    <row r="40" spans="1:4" ht="17" customHeight="1" x14ac:dyDescent="0.35">
      <c r="A40" s="2" t="s">
        <v>154</v>
      </c>
      <c r="B40" s="7">
        <v>3510</v>
      </c>
      <c r="C40" s="7">
        <v>2683</v>
      </c>
      <c r="D40" s="14"/>
    </row>
    <row r="41" spans="1:4" ht="17" customHeight="1" x14ac:dyDescent="0.35">
      <c r="A41" s="4" t="s">
        <v>97</v>
      </c>
      <c r="B41" s="5">
        <v>1932</v>
      </c>
      <c r="C41" s="5">
        <v>1648</v>
      </c>
      <c r="D41" s="15"/>
    </row>
    <row r="42" spans="1:4" ht="17" customHeight="1" x14ac:dyDescent="0.35">
      <c r="A42" s="2" t="s">
        <v>98</v>
      </c>
      <c r="B42" s="7">
        <v>988</v>
      </c>
      <c r="C42" s="7">
        <v>1740</v>
      </c>
      <c r="D42" s="14"/>
    </row>
    <row r="43" spans="1:4" ht="17" customHeight="1" x14ac:dyDescent="0.35">
      <c r="A43" s="4" t="s">
        <v>176</v>
      </c>
      <c r="B43" s="5">
        <v>2630</v>
      </c>
      <c r="C43" s="5">
        <v>2581</v>
      </c>
      <c r="D43" s="15"/>
    </row>
    <row r="44" spans="1:4" ht="17" customHeight="1" x14ac:dyDescent="0.35">
      <c r="A44" s="2" t="s">
        <v>101</v>
      </c>
      <c r="B44" s="7">
        <v>580</v>
      </c>
      <c r="C44" s="7">
        <v>438</v>
      </c>
      <c r="D44" s="14"/>
    </row>
    <row r="45" spans="1:4" ht="17" customHeight="1" x14ac:dyDescent="0.35">
      <c r="A45" s="11" t="s">
        <v>102</v>
      </c>
      <c r="B45" s="12">
        <v>14647</v>
      </c>
      <c r="C45" s="12">
        <v>13640</v>
      </c>
      <c r="D45" s="13"/>
    </row>
    <row r="46" spans="1:4" ht="17" customHeight="1" x14ac:dyDescent="0.35">
      <c r="A46" s="11" t="s">
        <v>103</v>
      </c>
      <c r="B46" s="12">
        <v>69737</v>
      </c>
      <c r="C46" s="12">
        <v>68116</v>
      </c>
      <c r="D46" s="13"/>
    </row>
    <row r="47" spans="1:4" ht="17" customHeight="1" x14ac:dyDescent="0.35">
      <c r="A47" s="4" t="s">
        <v>104</v>
      </c>
      <c r="B47" s="16"/>
      <c r="C47" s="16"/>
      <c r="D47" s="15"/>
    </row>
    <row r="48" spans="1:4" ht="17" customHeight="1" x14ac:dyDescent="0.35">
      <c r="A48" s="2" t="s">
        <v>105</v>
      </c>
      <c r="B48" s="7">
        <v>235</v>
      </c>
      <c r="C48" s="7">
        <v>235</v>
      </c>
      <c r="D48" s="14"/>
    </row>
    <row r="49" spans="1:4" ht="17" customHeight="1" x14ac:dyDescent="0.35">
      <c r="A49" s="4" t="s">
        <v>106</v>
      </c>
      <c r="B49" s="5">
        <v>48525</v>
      </c>
      <c r="C49" s="5">
        <v>47199</v>
      </c>
      <c r="D49" s="15"/>
    </row>
    <row r="50" spans="1:4" ht="17" customHeight="1" x14ac:dyDescent="0.35">
      <c r="A50" s="11" t="s">
        <v>107</v>
      </c>
      <c r="B50" s="12">
        <v>48760</v>
      </c>
      <c r="C50" s="12">
        <v>47434</v>
      </c>
      <c r="D50" s="13"/>
    </row>
    <row r="51" spans="1:4" ht="17" customHeight="1" x14ac:dyDescent="0.35">
      <c r="A51" s="4" t="s">
        <v>108</v>
      </c>
      <c r="B51" s="16"/>
      <c r="C51" s="16"/>
      <c r="D51" s="15"/>
    </row>
    <row r="52" spans="1:4" ht="17" customHeight="1" x14ac:dyDescent="0.35">
      <c r="A52" s="2" t="s">
        <v>109</v>
      </c>
      <c r="B52" s="7">
        <v>10033</v>
      </c>
      <c r="C52" s="7">
        <v>9841</v>
      </c>
      <c r="D52" s="14"/>
    </row>
    <row r="53" spans="1:4" ht="17" customHeight="1" x14ac:dyDescent="0.35">
      <c r="A53" s="4" t="s">
        <v>110</v>
      </c>
      <c r="B53" s="5">
        <v>10944</v>
      </c>
      <c r="C53" s="5">
        <v>10841</v>
      </c>
      <c r="D53" s="15"/>
    </row>
    <row r="54" spans="1:4" ht="17" customHeight="1" x14ac:dyDescent="0.35">
      <c r="A54" s="11" t="s">
        <v>111</v>
      </c>
      <c r="B54" s="12">
        <v>69737</v>
      </c>
      <c r="C54" s="12">
        <v>68116</v>
      </c>
      <c r="D54" s="13"/>
    </row>
    <row r="56" spans="1:4" ht="22" customHeight="1" x14ac:dyDescent="0.35">
      <c r="A56" s="36" t="s">
        <v>177</v>
      </c>
      <c r="B56" s="31"/>
      <c r="C56" s="31"/>
      <c r="D56" s="31"/>
    </row>
    <row r="57" spans="1:4" ht="20" customHeight="1" x14ac:dyDescent="0.35">
      <c r="A57" s="3" t="s">
        <v>63</v>
      </c>
      <c r="B57" s="3" t="s">
        <v>64</v>
      </c>
      <c r="C57" s="3" t="s">
        <v>65</v>
      </c>
    </row>
    <row r="58" spans="1:4" ht="17" customHeight="1" x14ac:dyDescent="0.35">
      <c r="A58" s="4" t="s">
        <v>178</v>
      </c>
      <c r="B58" s="5">
        <v>50336</v>
      </c>
      <c r="C58" s="5">
        <v>45311</v>
      </c>
      <c r="D58" s="15"/>
    </row>
    <row r="59" spans="1:4" ht="17" customHeight="1" x14ac:dyDescent="0.35">
      <c r="A59" s="2" t="s">
        <v>179</v>
      </c>
      <c r="B59" s="10">
        <v>0.111</v>
      </c>
      <c r="C59" s="10">
        <v>7.1999999999999995E-2</v>
      </c>
      <c r="D59" s="14"/>
    </row>
    <row r="60" spans="1:4" ht="17" customHeight="1" x14ac:dyDescent="0.35">
      <c r="A60" s="11" t="s">
        <v>180</v>
      </c>
      <c r="B60" s="12">
        <v>8818</v>
      </c>
      <c r="C60" s="12">
        <v>7954</v>
      </c>
      <c r="D60" s="13"/>
    </row>
    <row r="61" spans="1:4" ht="17" customHeight="1" x14ac:dyDescent="0.35">
      <c r="A61" s="11" t="s">
        <v>38</v>
      </c>
      <c r="B61" s="21">
        <v>0.17230000000000001</v>
      </c>
      <c r="C61" s="21">
        <v>0.1729</v>
      </c>
      <c r="D61" s="13"/>
    </row>
    <row r="62" spans="1:4" ht="17" customHeight="1" x14ac:dyDescent="0.35">
      <c r="A62" s="4" t="s">
        <v>181</v>
      </c>
      <c r="B62" s="5">
        <v>11684</v>
      </c>
      <c r="C62" s="5">
        <v>11212</v>
      </c>
      <c r="D62" s="15"/>
    </row>
    <row r="63" spans="1:4" ht="17" customHeight="1" x14ac:dyDescent="0.35">
      <c r="A63" s="2" t="s">
        <v>182</v>
      </c>
      <c r="B63" s="7">
        <v>16</v>
      </c>
      <c r="C63" s="7">
        <v>14</v>
      </c>
      <c r="D63" s="14"/>
    </row>
    <row r="64" spans="1:4" ht="17" customHeight="1" x14ac:dyDescent="0.35">
      <c r="A64" s="4" t="s">
        <v>183</v>
      </c>
      <c r="B64" s="5">
        <v>15</v>
      </c>
      <c r="C64" s="5">
        <v>15</v>
      </c>
      <c r="D64" s="15"/>
    </row>
  </sheetData>
  <mergeCells count="4">
    <mergeCell ref="A1:D1"/>
    <mergeCell ref="A56:D56"/>
    <mergeCell ref="A27:D27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8000"/>
  </sheetPr>
  <dimension ref="A1:D61"/>
  <sheetViews>
    <sheetView workbookViewId="0">
      <pane xSplit="1" ySplit="2" topLeftCell="B3" activePane="bottomRight" state="frozen"/>
      <selection pane="topRight"/>
      <selection pane="bottomLeft"/>
      <selection pane="bottomRight" sqref="A1:D1"/>
    </sheetView>
  </sheetViews>
  <sheetFormatPr defaultRowHeight="14.5" x14ac:dyDescent="0.35"/>
  <cols>
    <col min="1" max="1" width="38" customWidth="1"/>
    <col min="2" max="4" width="16" customWidth="1"/>
  </cols>
  <sheetData>
    <row r="1" spans="1:4" ht="32" customHeight="1" x14ac:dyDescent="0.35">
      <c r="A1" s="32" t="s">
        <v>184</v>
      </c>
      <c r="B1" s="31"/>
      <c r="C1" s="31"/>
      <c r="D1" s="31"/>
    </row>
    <row r="2" spans="1:4" ht="22" customHeight="1" x14ac:dyDescent="0.35">
      <c r="A2" s="36" t="s">
        <v>62</v>
      </c>
      <c r="B2" s="31"/>
      <c r="C2" s="31"/>
      <c r="D2" s="31"/>
    </row>
    <row r="3" spans="1:4" ht="20" customHeight="1" x14ac:dyDescent="0.35">
      <c r="A3" s="3" t="s">
        <v>63</v>
      </c>
      <c r="B3" s="3" t="s">
        <v>64</v>
      </c>
      <c r="C3" s="3" t="s">
        <v>65</v>
      </c>
    </row>
    <row r="4" spans="1:4" ht="17" customHeight="1" x14ac:dyDescent="0.35">
      <c r="A4" s="11" t="s">
        <v>66</v>
      </c>
      <c r="B4" s="12">
        <v>8179.5</v>
      </c>
      <c r="C4" s="12">
        <v>7184.73</v>
      </c>
      <c r="D4" s="13"/>
    </row>
    <row r="5" spans="1:4" ht="17" customHeight="1" x14ac:dyDescent="0.35">
      <c r="A5" s="2" t="s">
        <v>167</v>
      </c>
      <c r="B5" s="7">
        <v>341.55</v>
      </c>
      <c r="C5" s="7">
        <v>276.64999999999998</v>
      </c>
      <c r="D5" s="14"/>
    </row>
    <row r="6" spans="1:4" ht="17" customHeight="1" x14ac:dyDescent="0.35">
      <c r="A6" s="11" t="s">
        <v>70</v>
      </c>
      <c r="B6" s="12">
        <v>8521.0499999999993</v>
      </c>
      <c r="C6" s="12">
        <v>7461.38</v>
      </c>
      <c r="D6" s="13"/>
    </row>
    <row r="7" spans="1:4" ht="17" customHeight="1" x14ac:dyDescent="0.35">
      <c r="A7" s="2" t="s">
        <v>71</v>
      </c>
      <c r="B7" s="9"/>
      <c r="C7" s="9"/>
      <c r="D7" s="14"/>
    </row>
    <row r="8" spans="1:4" ht="17" customHeight="1" x14ac:dyDescent="0.35">
      <c r="A8" s="4" t="s">
        <v>72</v>
      </c>
      <c r="B8" s="5">
        <v>3227.83</v>
      </c>
      <c r="C8" s="5">
        <v>2756.03</v>
      </c>
      <c r="D8" s="15"/>
    </row>
    <row r="9" spans="1:4" ht="17" customHeight="1" x14ac:dyDescent="0.35">
      <c r="A9" s="2" t="s">
        <v>144</v>
      </c>
      <c r="B9" s="7">
        <v>1177.8699999999999</v>
      </c>
      <c r="C9" s="7">
        <v>1117.5</v>
      </c>
      <c r="D9" s="14"/>
    </row>
    <row r="10" spans="1:4" ht="17" customHeight="1" x14ac:dyDescent="0.35">
      <c r="A10" s="4" t="s">
        <v>74</v>
      </c>
      <c r="B10" s="5">
        <v>-28.49</v>
      </c>
      <c r="C10" s="5">
        <v>-176.71</v>
      </c>
      <c r="D10" s="15"/>
    </row>
    <row r="11" spans="1:4" ht="17" customHeight="1" x14ac:dyDescent="0.35">
      <c r="A11" s="2" t="s">
        <v>76</v>
      </c>
      <c r="B11" s="7">
        <v>678.71</v>
      </c>
      <c r="C11" s="7">
        <v>655.82</v>
      </c>
      <c r="D11" s="14"/>
    </row>
    <row r="12" spans="1:4" ht="17" customHeight="1" x14ac:dyDescent="0.35">
      <c r="A12" s="4" t="s">
        <v>77</v>
      </c>
      <c r="B12" s="5">
        <v>18.670000000000002</v>
      </c>
      <c r="C12" s="5">
        <v>9.14</v>
      </c>
      <c r="D12" s="15"/>
    </row>
    <row r="13" spans="1:4" ht="17" customHeight="1" x14ac:dyDescent="0.35">
      <c r="A13" s="2" t="s">
        <v>78</v>
      </c>
      <c r="B13" s="7">
        <v>160.38999999999999</v>
      </c>
      <c r="C13" s="7">
        <v>143.4</v>
      </c>
      <c r="D13" s="14"/>
    </row>
    <row r="14" spans="1:4" ht="17" customHeight="1" x14ac:dyDescent="0.35">
      <c r="A14" s="4" t="s">
        <v>185</v>
      </c>
      <c r="B14" s="5">
        <v>621.02</v>
      </c>
      <c r="C14" s="5">
        <v>643.5</v>
      </c>
      <c r="D14" s="15"/>
    </row>
    <row r="15" spans="1:4" ht="17" customHeight="1" x14ac:dyDescent="0.35">
      <c r="A15" s="2" t="s">
        <v>79</v>
      </c>
      <c r="B15" s="7">
        <v>768.74</v>
      </c>
      <c r="C15" s="7">
        <v>629.39</v>
      </c>
      <c r="D15" s="14"/>
    </row>
    <row r="16" spans="1:4" ht="17" customHeight="1" x14ac:dyDescent="0.35">
      <c r="A16" s="11" t="s">
        <v>80</v>
      </c>
      <c r="B16" s="12">
        <v>6624.74</v>
      </c>
      <c r="C16" s="12">
        <v>5778.07</v>
      </c>
      <c r="D16" s="13"/>
    </row>
    <row r="17" spans="1:4" ht="17" customHeight="1" x14ac:dyDescent="0.35">
      <c r="A17" s="11" t="s">
        <v>81</v>
      </c>
      <c r="B17" s="12">
        <v>1896.31</v>
      </c>
      <c r="C17" s="12">
        <v>1683.31</v>
      </c>
      <c r="D17" s="13"/>
    </row>
    <row r="18" spans="1:4" ht="17" customHeight="1" x14ac:dyDescent="0.35">
      <c r="A18" s="4" t="s">
        <v>169</v>
      </c>
      <c r="B18" s="5">
        <v>378.97</v>
      </c>
      <c r="C18" s="5">
        <v>299.75</v>
      </c>
      <c r="D18" s="15"/>
    </row>
    <row r="19" spans="1:4" ht="17" customHeight="1" x14ac:dyDescent="0.35">
      <c r="A19" s="2" t="s">
        <v>170</v>
      </c>
      <c r="B19" s="7">
        <v>84.41</v>
      </c>
      <c r="C19" s="7">
        <v>1.67</v>
      </c>
      <c r="D19" s="14"/>
    </row>
    <row r="20" spans="1:4" ht="17" customHeight="1" x14ac:dyDescent="0.35">
      <c r="A20" s="11" t="s">
        <v>149</v>
      </c>
      <c r="B20" s="12">
        <v>1432.93</v>
      </c>
      <c r="C20" s="12">
        <v>1381.89</v>
      </c>
      <c r="D20" s="13"/>
    </row>
    <row r="21" spans="1:4" ht="17" customHeight="1" x14ac:dyDescent="0.35">
      <c r="A21" s="11" t="s">
        <v>84</v>
      </c>
      <c r="B21" s="12">
        <v>1404.9</v>
      </c>
      <c r="C21" s="12">
        <v>1365.76</v>
      </c>
      <c r="D21" s="13"/>
    </row>
    <row r="22" spans="1:4" ht="17" customHeight="1" x14ac:dyDescent="0.35">
      <c r="A22" s="4" t="s">
        <v>85</v>
      </c>
      <c r="B22" s="5">
        <v>8.11</v>
      </c>
      <c r="C22" s="5">
        <v>7.82</v>
      </c>
      <c r="D22" s="15"/>
    </row>
    <row r="24" spans="1:4" ht="22" customHeight="1" x14ac:dyDescent="0.35">
      <c r="A24" s="36" t="s">
        <v>86</v>
      </c>
      <c r="B24" s="31"/>
      <c r="C24" s="31"/>
      <c r="D24" s="31"/>
    </row>
    <row r="25" spans="1:4" ht="20" customHeight="1" x14ac:dyDescent="0.35">
      <c r="A25" s="3" t="s">
        <v>63</v>
      </c>
      <c r="B25" s="3" t="s">
        <v>64</v>
      </c>
      <c r="C25" s="3" t="s">
        <v>65</v>
      </c>
    </row>
    <row r="26" spans="1:4" ht="17" customHeight="1" x14ac:dyDescent="0.35">
      <c r="A26" s="4" t="s">
        <v>87</v>
      </c>
      <c r="B26" s="16"/>
      <c r="C26" s="16"/>
      <c r="D26" s="15"/>
    </row>
    <row r="27" spans="1:4" ht="17" customHeight="1" x14ac:dyDescent="0.35">
      <c r="A27" s="2" t="s">
        <v>88</v>
      </c>
      <c r="B27" s="7">
        <v>1329.19</v>
      </c>
      <c r="C27" s="7">
        <v>1131</v>
      </c>
      <c r="D27" s="14"/>
    </row>
    <row r="28" spans="1:4" ht="17" customHeight="1" x14ac:dyDescent="0.35">
      <c r="A28" s="4" t="s">
        <v>89</v>
      </c>
      <c r="B28" s="5">
        <v>128.47999999999999</v>
      </c>
      <c r="C28" s="5">
        <v>107.26</v>
      </c>
      <c r="D28" s="15"/>
    </row>
    <row r="29" spans="1:4" ht="17" customHeight="1" x14ac:dyDescent="0.35">
      <c r="A29" s="2" t="s">
        <v>186</v>
      </c>
      <c r="B29" s="7">
        <v>46.37</v>
      </c>
      <c r="C29" s="7">
        <v>47.39</v>
      </c>
      <c r="D29" s="14"/>
    </row>
    <row r="30" spans="1:4" ht="17" customHeight="1" x14ac:dyDescent="0.35">
      <c r="A30" s="4" t="s">
        <v>187</v>
      </c>
      <c r="B30" s="5">
        <v>4327.7</v>
      </c>
      <c r="C30" s="5">
        <v>3122.76</v>
      </c>
      <c r="D30" s="15"/>
    </row>
    <row r="31" spans="1:4" ht="17" customHeight="1" x14ac:dyDescent="0.35">
      <c r="A31" s="2" t="s">
        <v>93</v>
      </c>
      <c r="B31" s="7">
        <v>83.5</v>
      </c>
      <c r="C31" s="7">
        <v>116.89</v>
      </c>
      <c r="D31" s="14"/>
    </row>
    <row r="32" spans="1:4" ht="17" customHeight="1" x14ac:dyDescent="0.35">
      <c r="A32" s="11" t="s">
        <v>94</v>
      </c>
      <c r="B32" s="12">
        <v>5957.84</v>
      </c>
      <c r="C32" s="12">
        <v>4674.17</v>
      </c>
      <c r="D32" s="13"/>
    </row>
    <row r="33" spans="1:4" ht="17" customHeight="1" x14ac:dyDescent="0.35">
      <c r="A33" s="2" t="s">
        <v>95</v>
      </c>
      <c r="B33" s="9"/>
      <c r="C33" s="9"/>
      <c r="D33" s="14"/>
    </row>
    <row r="34" spans="1:4" ht="17" customHeight="1" x14ac:dyDescent="0.35">
      <c r="A34" s="4" t="s">
        <v>96</v>
      </c>
      <c r="B34" s="5">
        <v>1237.96</v>
      </c>
      <c r="C34" s="5">
        <v>1114.1600000000001</v>
      </c>
      <c r="D34" s="15"/>
    </row>
    <row r="35" spans="1:4" ht="17" customHeight="1" x14ac:dyDescent="0.35">
      <c r="A35" s="2" t="s">
        <v>97</v>
      </c>
      <c r="B35" s="7">
        <v>454.55</v>
      </c>
      <c r="C35" s="7">
        <v>281.24</v>
      </c>
      <c r="D35" s="14"/>
    </row>
    <row r="36" spans="1:4" ht="17" customHeight="1" x14ac:dyDescent="0.35">
      <c r="A36" s="4" t="s">
        <v>98</v>
      </c>
      <c r="B36" s="5">
        <v>10.47</v>
      </c>
      <c r="C36" s="5">
        <v>11.37</v>
      </c>
      <c r="D36" s="15"/>
    </row>
    <row r="37" spans="1:4" ht="17" customHeight="1" x14ac:dyDescent="0.35">
      <c r="A37" s="2" t="s">
        <v>176</v>
      </c>
      <c r="B37" s="7">
        <v>125.71</v>
      </c>
      <c r="C37" s="7">
        <v>823.37</v>
      </c>
      <c r="D37" s="14"/>
    </row>
    <row r="38" spans="1:4" ht="17" customHeight="1" x14ac:dyDescent="0.35">
      <c r="A38" s="4" t="s">
        <v>100</v>
      </c>
      <c r="B38" s="5">
        <v>679.38</v>
      </c>
      <c r="C38" s="5">
        <v>451.14</v>
      </c>
      <c r="D38" s="15"/>
    </row>
    <row r="39" spans="1:4" ht="17" customHeight="1" x14ac:dyDescent="0.35">
      <c r="A39" s="2" t="s">
        <v>101</v>
      </c>
      <c r="B39" s="7">
        <v>116.4</v>
      </c>
      <c r="C39" s="7">
        <v>139.16999999999999</v>
      </c>
      <c r="D39" s="14"/>
    </row>
    <row r="40" spans="1:4" ht="17" customHeight="1" x14ac:dyDescent="0.35">
      <c r="A40" s="11" t="s">
        <v>102</v>
      </c>
      <c r="B40" s="12">
        <v>2634.13</v>
      </c>
      <c r="C40" s="12">
        <v>2829.99</v>
      </c>
      <c r="D40" s="13"/>
    </row>
    <row r="41" spans="1:4" ht="17" customHeight="1" x14ac:dyDescent="0.35">
      <c r="A41" s="11" t="s">
        <v>103</v>
      </c>
      <c r="B41" s="12">
        <v>8592</v>
      </c>
      <c r="C41" s="12">
        <v>7504.16</v>
      </c>
      <c r="D41" s="13"/>
    </row>
    <row r="42" spans="1:4" ht="17" customHeight="1" x14ac:dyDescent="0.35">
      <c r="A42" s="4" t="s">
        <v>104</v>
      </c>
      <c r="B42" s="16"/>
      <c r="C42" s="16"/>
      <c r="D42" s="15"/>
    </row>
    <row r="43" spans="1:4" ht="17" customHeight="1" x14ac:dyDescent="0.35">
      <c r="A43" s="2" t="s">
        <v>105</v>
      </c>
      <c r="B43" s="7">
        <v>176.79</v>
      </c>
      <c r="C43" s="7">
        <v>176.74</v>
      </c>
      <c r="D43" s="14"/>
    </row>
    <row r="44" spans="1:4" ht="17" customHeight="1" x14ac:dyDescent="0.35">
      <c r="A44" s="4" t="s">
        <v>106</v>
      </c>
      <c r="B44" s="5">
        <v>5687.08</v>
      </c>
      <c r="C44" s="5">
        <v>5214.4799999999996</v>
      </c>
      <c r="D44" s="15"/>
    </row>
    <row r="45" spans="1:4" ht="17" customHeight="1" x14ac:dyDescent="0.35">
      <c r="A45" s="11" t="s">
        <v>107</v>
      </c>
      <c r="B45" s="12">
        <v>5863.87</v>
      </c>
      <c r="C45" s="12">
        <v>5391.22</v>
      </c>
      <c r="D45" s="13"/>
    </row>
    <row r="46" spans="1:4" ht="17" customHeight="1" x14ac:dyDescent="0.35">
      <c r="A46" s="4" t="s">
        <v>108</v>
      </c>
      <c r="B46" s="16"/>
      <c r="C46" s="16"/>
      <c r="D46" s="15"/>
    </row>
    <row r="47" spans="1:4" ht="17" customHeight="1" x14ac:dyDescent="0.35">
      <c r="A47" s="2" t="s">
        <v>109</v>
      </c>
      <c r="B47" s="7">
        <v>420.3</v>
      </c>
      <c r="C47" s="7">
        <v>76.540000000000006</v>
      </c>
      <c r="D47" s="14"/>
    </row>
    <row r="48" spans="1:4" ht="17" customHeight="1" x14ac:dyDescent="0.35">
      <c r="A48" s="4" t="s">
        <v>110</v>
      </c>
      <c r="B48" s="5">
        <v>2307.83</v>
      </c>
      <c r="C48" s="5">
        <v>2036.4</v>
      </c>
      <c r="D48" s="15"/>
    </row>
    <row r="49" spans="1:4" ht="17" customHeight="1" x14ac:dyDescent="0.35">
      <c r="A49" s="11" t="s">
        <v>111</v>
      </c>
      <c r="B49" s="12">
        <v>8592</v>
      </c>
      <c r="C49" s="12">
        <v>7504.16</v>
      </c>
      <c r="D49" s="13"/>
    </row>
    <row r="51" spans="1:4" ht="22" customHeight="1" x14ac:dyDescent="0.35">
      <c r="A51" s="36" t="s">
        <v>188</v>
      </c>
      <c r="B51" s="31"/>
      <c r="C51" s="31"/>
      <c r="D51" s="31"/>
    </row>
    <row r="52" spans="1:4" ht="20" customHeight="1" x14ac:dyDescent="0.35">
      <c r="A52" s="3" t="s">
        <v>63</v>
      </c>
      <c r="B52" s="3" t="s">
        <v>64</v>
      </c>
      <c r="C52" s="3" t="s">
        <v>65</v>
      </c>
    </row>
    <row r="53" spans="1:4" ht="17" customHeight="1" x14ac:dyDescent="0.35">
      <c r="A53" s="4" t="s">
        <v>189</v>
      </c>
      <c r="B53" s="5">
        <v>10889</v>
      </c>
      <c r="C53" s="5">
        <v>9562</v>
      </c>
      <c r="D53" s="15"/>
    </row>
    <row r="54" spans="1:4" ht="17" customHeight="1" x14ac:dyDescent="0.35">
      <c r="A54" s="2" t="s">
        <v>190</v>
      </c>
      <c r="B54" s="10">
        <v>0.13789999999999999</v>
      </c>
      <c r="C54" s="10">
        <v>0.08</v>
      </c>
      <c r="D54" s="14"/>
    </row>
    <row r="55" spans="1:4" ht="17" customHeight="1" x14ac:dyDescent="0.35">
      <c r="A55" s="4" t="s">
        <v>191</v>
      </c>
      <c r="B55" s="18">
        <v>0.10100000000000001</v>
      </c>
      <c r="C55" s="16" t="s">
        <v>192</v>
      </c>
      <c r="D55" s="15"/>
    </row>
    <row r="56" spans="1:4" ht="17" customHeight="1" x14ac:dyDescent="0.35">
      <c r="A56" s="2" t="s">
        <v>193</v>
      </c>
      <c r="B56" s="7">
        <v>2806</v>
      </c>
      <c r="C56" s="7">
        <v>2421</v>
      </c>
      <c r="D56" s="14"/>
    </row>
    <row r="57" spans="1:4" ht="17" customHeight="1" x14ac:dyDescent="0.35">
      <c r="A57" s="4" t="s">
        <v>194</v>
      </c>
      <c r="B57" s="18">
        <v>6.5000000000000002E-2</v>
      </c>
      <c r="C57" s="18">
        <v>0.05</v>
      </c>
      <c r="D57" s="15"/>
    </row>
    <row r="58" spans="1:4" ht="17" customHeight="1" x14ac:dyDescent="0.35">
      <c r="A58" s="2" t="s">
        <v>195</v>
      </c>
      <c r="B58" s="7">
        <v>12</v>
      </c>
      <c r="C58" s="7">
        <v>9</v>
      </c>
      <c r="D58" s="14"/>
    </row>
    <row r="59" spans="1:4" ht="17" customHeight="1" x14ac:dyDescent="0.35">
      <c r="A59" s="4" t="s">
        <v>196</v>
      </c>
      <c r="B59" s="5">
        <v>2</v>
      </c>
      <c r="C59" s="5">
        <v>2</v>
      </c>
      <c r="D59" s="15"/>
    </row>
    <row r="60" spans="1:4" ht="17" customHeight="1" x14ac:dyDescent="0.35">
      <c r="A60" s="11" t="s">
        <v>197</v>
      </c>
      <c r="B60" s="21">
        <v>0.17519999999999999</v>
      </c>
      <c r="C60" s="21">
        <v>0.1923</v>
      </c>
      <c r="D60" s="13"/>
    </row>
    <row r="61" spans="1:4" ht="17" customHeight="1" x14ac:dyDescent="0.35">
      <c r="A61" s="11" t="s">
        <v>198</v>
      </c>
      <c r="B61" s="12">
        <v>8.6999999999999994E-2</v>
      </c>
      <c r="C61" s="12">
        <v>2.8000000000000001E-2</v>
      </c>
      <c r="D61" s="13"/>
    </row>
  </sheetData>
  <mergeCells count="4">
    <mergeCell ref="A1:D1"/>
    <mergeCell ref="A24:D24"/>
    <mergeCell ref="A2:D2"/>
    <mergeCell ref="A51:D5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sqref="A1:F1"/>
    </sheetView>
  </sheetViews>
  <sheetFormatPr defaultRowHeight="14.5" x14ac:dyDescent="0.35"/>
  <cols>
    <col min="1" max="1" width="36" customWidth="1"/>
    <col min="2" max="6" width="16" customWidth="1"/>
  </cols>
  <sheetData>
    <row r="1" spans="1:6" ht="32" customHeight="1" x14ac:dyDescent="0.35">
      <c r="A1" s="32" t="s">
        <v>199</v>
      </c>
      <c r="B1" s="31"/>
      <c r="C1" s="31"/>
      <c r="D1" s="31"/>
      <c r="E1" s="31"/>
      <c r="F1" s="31"/>
    </row>
    <row r="2" spans="1:6" ht="20" customHeight="1" x14ac:dyDescent="0.35">
      <c r="A2" s="3" t="s">
        <v>200</v>
      </c>
      <c r="B2" s="3" t="s">
        <v>201</v>
      </c>
      <c r="C2" s="3" t="s">
        <v>202</v>
      </c>
      <c r="D2" s="3" t="s">
        <v>203</v>
      </c>
      <c r="E2" s="3" t="s">
        <v>204</v>
      </c>
      <c r="F2" s="3" t="s">
        <v>205</v>
      </c>
    </row>
    <row r="3" spans="1:6" ht="17" customHeight="1" x14ac:dyDescent="0.35">
      <c r="A3" s="30" t="s">
        <v>206</v>
      </c>
      <c r="B3" s="31"/>
      <c r="C3" s="31"/>
      <c r="D3" s="31"/>
      <c r="E3" s="31"/>
      <c r="F3" s="31"/>
    </row>
    <row r="4" spans="1:6" ht="17" customHeight="1" x14ac:dyDescent="0.35">
      <c r="A4" s="4" t="s">
        <v>207</v>
      </c>
      <c r="B4" s="5">
        <v>23451.39</v>
      </c>
      <c r="C4" s="5">
        <v>20333.12</v>
      </c>
      <c r="D4" s="18">
        <f t="shared" ref="D4:D9" si="0">B4/C4-1</f>
        <v>0.15335914999763944</v>
      </c>
      <c r="E4" s="15"/>
      <c r="F4" s="23" t="s">
        <v>208</v>
      </c>
    </row>
    <row r="5" spans="1:6" ht="17" customHeight="1" x14ac:dyDescent="0.35">
      <c r="A5" s="2" t="s">
        <v>209</v>
      </c>
      <c r="B5" s="7">
        <v>15994.49</v>
      </c>
      <c r="C5" s="7">
        <v>14728.23</v>
      </c>
      <c r="D5" s="10">
        <f t="shared" si="0"/>
        <v>8.597502890707176E-2</v>
      </c>
      <c r="E5" s="14"/>
      <c r="F5" s="24" t="s">
        <v>210</v>
      </c>
    </row>
    <row r="6" spans="1:6" ht="17" customHeight="1" x14ac:dyDescent="0.35">
      <c r="A6" s="11" t="s">
        <v>211</v>
      </c>
      <c r="B6" s="12">
        <v>39445.879999999997</v>
      </c>
      <c r="C6" s="12">
        <v>35061.35</v>
      </c>
      <c r="D6" s="21">
        <f t="shared" si="0"/>
        <v>0.12505308552009553</v>
      </c>
      <c r="E6" s="13"/>
      <c r="F6" s="25" t="s">
        <v>212</v>
      </c>
    </row>
    <row r="7" spans="1:6" ht="17" customHeight="1" x14ac:dyDescent="0.35">
      <c r="A7" s="2" t="s">
        <v>213</v>
      </c>
      <c r="B7" s="7">
        <v>1285</v>
      </c>
      <c r="C7" s="7">
        <v>627.51</v>
      </c>
      <c r="D7" s="10">
        <f t="shared" si="0"/>
        <v>1.0477761310576725</v>
      </c>
      <c r="E7" s="14"/>
      <c r="F7" s="24" t="s">
        <v>214</v>
      </c>
    </row>
    <row r="8" spans="1:6" ht="17" customHeight="1" x14ac:dyDescent="0.35">
      <c r="A8" s="4" t="s">
        <v>215</v>
      </c>
      <c r="B8" s="5">
        <v>16196.07</v>
      </c>
      <c r="C8" s="5">
        <v>12582.24</v>
      </c>
      <c r="D8" s="18">
        <f t="shared" si="0"/>
        <v>0.28721674360050353</v>
      </c>
      <c r="E8" s="15"/>
      <c r="F8" s="23" t="s">
        <v>216</v>
      </c>
    </row>
    <row r="9" spans="1:6" ht="17" customHeight="1" x14ac:dyDescent="0.35">
      <c r="A9" s="2" t="s">
        <v>217</v>
      </c>
      <c r="B9" s="7">
        <v>7641.62</v>
      </c>
      <c r="C9" s="7">
        <v>5618.55</v>
      </c>
      <c r="D9" s="10">
        <f t="shared" si="0"/>
        <v>0.36006976889055009</v>
      </c>
      <c r="E9" s="14"/>
      <c r="F9" s="24"/>
    </row>
    <row r="10" spans="1:6" ht="17" customHeight="1" x14ac:dyDescent="0.35">
      <c r="A10" s="4" t="s">
        <v>218</v>
      </c>
      <c r="B10" s="5">
        <v>-5467.48</v>
      </c>
      <c r="C10" s="5">
        <v>-5738.39</v>
      </c>
      <c r="D10" s="15"/>
      <c r="E10" s="15"/>
      <c r="F10" s="23"/>
    </row>
    <row r="11" spans="1:6" ht="17" customHeight="1" x14ac:dyDescent="0.35">
      <c r="A11" s="11" t="s">
        <v>219</v>
      </c>
      <c r="B11" s="12">
        <v>59101.09</v>
      </c>
      <c r="C11" s="12">
        <v>48151.26</v>
      </c>
      <c r="D11" s="21">
        <f>B11/C11-1</f>
        <v>0.22740484880354095</v>
      </c>
      <c r="E11" s="13"/>
      <c r="F11" s="25"/>
    </row>
    <row r="12" spans="1:6" ht="17" customHeight="1" x14ac:dyDescent="0.35">
      <c r="A12" s="30" t="s">
        <v>220</v>
      </c>
      <c r="B12" s="31"/>
      <c r="C12" s="31"/>
      <c r="D12" s="31"/>
      <c r="E12" s="31"/>
      <c r="F12" s="31"/>
    </row>
    <row r="13" spans="1:6" ht="17" customHeight="1" x14ac:dyDescent="0.35">
      <c r="A13" s="2" t="s">
        <v>221</v>
      </c>
      <c r="B13" s="7">
        <v>14000</v>
      </c>
      <c r="C13" s="7">
        <v>12500</v>
      </c>
      <c r="D13" s="10">
        <f>B13/C13-1</f>
        <v>0.12000000000000011</v>
      </c>
      <c r="E13" s="14"/>
      <c r="F13" s="24" t="s">
        <v>222</v>
      </c>
    </row>
    <row r="14" spans="1:6" ht="17" customHeight="1" x14ac:dyDescent="0.35">
      <c r="A14" s="4" t="s">
        <v>223</v>
      </c>
      <c r="B14" s="5">
        <v>19500</v>
      </c>
      <c r="C14" s="5">
        <v>17000</v>
      </c>
      <c r="D14" s="18">
        <f>B14/C14-1</f>
        <v>0.14705882352941169</v>
      </c>
      <c r="E14" s="15"/>
      <c r="F14" s="23" t="s">
        <v>224</v>
      </c>
    </row>
    <row r="15" spans="1:6" ht="17" customHeight="1" x14ac:dyDescent="0.35">
      <c r="A15" s="2" t="s">
        <v>225</v>
      </c>
      <c r="B15" s="7">
        <v>14000</v>
      </c>
      <c r="C15" s="7">
        <v>13000</v>
      </c>
      <c r="D15" s="10">
        <f>B15/C15-1</f>
        <v>7.6923076923076872E-2</v>
      </c>
      <c r="E15" s="14"/>
      <c r="F15" s="24" t="s">
        <v>226</v>
      </c>
    </row>
    <row r="16" spans="1:6" ht="17" customHeight="1" x14ac:dyDescent="0.35">
      <c r="A16" s="4" t="s">
        <v>227</v>
      </c>
      <c r="B16" s="5">
        <v>3693</v>
      </c>
      <c r="C16" s="5">
        <v>3496</v>
      </c>
      <c r="D16" s="18">
        <f>B16/C16-1</f>
        <v>5.6350114416475972E-2</v>
      </c>
      <c r="E16" s="15"/>
      <c r="F16" s="23"/>
    </row>
    <row r="17" spans="1:6" ht="17" customHeight="1" x14ac:dyDescent="0.35">
      <c r="A17" s="11" t="s">
        <v>228</v>
      </c>
      <c r="B17" s="12">
        <v>51193</v>
      </c>
      <c r="C17" s="12">
        <v>45996</v>
      </c>
      <c r="D17" s="21">
        <f>B17/C17-1</f>
        <v>0.11298808592051479</v>
      </c>
      <c r="E17" s="13"/>
      <c r="F17" s="25" t="s">
        <v>229</v>
      </c>
    </row>
    <row r="18" spans="1:6" ht="17" customHeight="1" x14ac:dyDescent="0.35">
      <c r="A18" s="30" t="s">
        <v>230</v>
      </c>
      <c r="B18" s="31"/>
      <c r="C18" s="31"/>
      <c r="D18" s="31"/>
      <c r="E18" s="31"/>
      <c r="F18" s="31"/>
    </row>
    <row r="19" spans="1:6" ht="17" customHeight="1" x14ac:dyDescent="0.35">
      <c r="A19" s="2" t="s">
        <v>231</v>
      </c>
      <c r="B19" s="7">
        <v>4683</v>
      </c>
      <c r="C19" s="7">
        <v>4274</v>
      </c>
      <c r="D19" s="10">
        <f t="shared" ref="D19:D24" si="1">B19/C19-1</f>
        <v>9.569489939167064E-2</v>
      </c>
      <c r="E19" s="14"/>
      <c r="F19" s="24" t="s">
        <v>232</v>
      </c>
    </row>
    <row r="20" spans="1:6" ht="17" customHeight="1" x14ac:dyDescent="0.35">
      <c r="A20" s="4" t="s">
        <v>233</v>
      </c>
      <c r="B20" s="5">
        <v>3076</v>
      </c>
      <c r="C20" s="5">
        <v>2750</v>
      </c>
      <c r="D20" s="18">
        <f t="shared" si="1"/>
        <v>0.11854545454545451</v>
      </c>
      <c r="E20" s="15"/>
      <c r="F20" s="23" t="s">
        <v>234</v>
      </c>
    </row>
    <row r="21" spans="1:6" ht="17" customHeight="1" x14ac:dyDescent="0.35">
      <c r="A21" s="2" t="s">
        <v>235</v>
      </c>
      <c r="B21" s="7">
        <v>2499</v>
      </c>
      <c r="C21" s="7">
        <v>2246</v>
      </c>
      <c r="D21" s="10">
        <f t="shared" si="1"/>
        <v>0.11264470169189678</v>
      </c>
      <c r="E21" s="14"/>
      <c r="F21" s="24" t="s">
        <v>236</v>
      </c>
    </row>
    <row r="22" spans="1:6" ht="17" customHeight="1" x14ac:dyDescent="0.35">
      <c r="A22" s="4" t="s">
        <v>237</v>
      </c>
      <c r="B22" s="5">
        <v>2305</v>
      </c>
      <c r="C22" s="5">
        <v>2128</v>
      </c>
      <c r="D22" s="18">
        <f t="shared" si="1"/>
        <v>8.3176691729323293E-2</v>
      </c>
      <c r="E22" s="15"/>
      <c r="F22" s="23" t="s">
        <v>238</v>
      </c>
    </row>
    <row r="23" spans="1:6" ht="17" customHeight="1" x14ac:dyDescent="0.35">
      <c r="A23" s="2" t="s">
        <v>239</v>
      </c>
      <c r="B23" s="7">
        <v>639.57000000000005</v>
      </c>
      <c r="C23" s="7">
        <v>647.39</v>
      </c>
      <c r="D23" s="10">
        <f t="shared" si="1"/>
        <v>-1.207927215434268E-2</v>
      </c>
      <c r="E23" s="14"/>
      <c r="F23" s="24"/>
    </row>
    <row r="24" spans="1:6" ht="17" customHeight="1" x14ac:dyDescent="0.35">
      <c r="A24" s="4" t="s">
        <v>240</v>
      </c>
      <c r="B24" s="5">
        <v>13994.15</v>
      </c>
      <c r="C24" s="5">
        <v>12642.77</v>
      </c>
      <c r="D24" s="18">
        <f t="shared" si="1"/>
        <v>0.10688955031215452</v>
      </c>
      <c r="E24" s="15"/>
      <c r="F24" s="23"/>
    </row>
    <row r="25" spans="1:6" ht="17" customHeight="1" x14ac:dyDescent="0.35">
      <c r="A25" s="30" t="s">
        <v>241</v>
      </c>
      <c r="B25" s="31"/>
      <c r="C25" s="31"/>
      <c r="D25" s="31"/>
      <c r="E25" s="31"/>
      <c r="F25" s="31"/>
    </row>
    <row r="26" spans="1:6" ht="17" customHeight="1" x14ac:dyDescent="0.35">
      <c r="A26" s="4" t="s">
        <v>242</v>
      </c>
      <c r="B26" s="5">
        <v>2700</v>
      </c>
      <c r="C26" s="5">
        <v>2500</v>
      </c>
      <c r="D26" s="18">
        <f t="shared" ref="D26:D32" si="2">B26/C26-1</f>
        <v>8.0000000000000071E-2</v>
      </c>
      <c r="E26" s="15"/>
      <c r="F26" s="23" t="s">
        <v>243</v>
      </c>
    </row>
    <row r="27" spans="1:6" ht="17" customHeight="1" x14ac:dyDescent="0.35">
      <c r="A27" s="2" t="s">
        <v>244</v>
      </c>
      <c r="B27" s="7">
        <v>1400</v>
      </c>
      <c r="C27" s="7">
        <v>1300</v>
      </c>
      <c r="D27" s="10">
        <f t="shared" si="2"/>
        <v>7.6923076923076872E-2</v>
      </c>
      <c r="E27" s="14"/>
      <c r="F27" s="24"/>
    </row>
    <row r="28" spans="1:6" ht="17" customHeight="1" x14ac:dyDescent="0.35">
      <c r="A28" s="4" t="s">
        <v>245</v>
      </c>
      <c r="B28" s="5">
        <v>800</v>
      </c>
      <c r="C28" s="5">
        <v>750</v>
      </c>
      <c r="D28" s="18">
        <f t="shared" si="2"/>
        <v>6.6666666666666652E-2</v>
      </c>
      <c r="E28" s="15"/>
      <c r="F28" s="23"/>
    </row>
    <row r="29" spans="1:6" ht="17" customHeight="1" x14ac:dyDescent="0.35">
      <c r="A29" s="2" t="s">
        <v>221</v>
      </c>
      <c r="B29" s="7">
        <v>600</v>
      </c>
      <c r="C29" s="7">
        <v>520</v>
      </c>
      <c r="D29" s="10">
        <f t="shared" si="2"/>
        <v>0.15384615384615374</v>
      </c>
      <c r="E29" s="14"/>
      <c r="F29" s="24"/>
    </row>
    <row r="30" spans="1:6" ht="17" customHeight="1" x14ac:dyDescent="0.35">
      <c r="A30" s="4" t="s">
        <v>246</v>
      </c>
      <c r="B30" s="5">
        <v>1200</v>
      </c>
      <c r="C30" s="5">
        <v>800</v>
      </c>
      <c r="D30" s="18">
        <f t="shared" si="2"/>
        <v>0.5</v>
      </c>
      <c r="E30" s="15"/>
      <c r="F30" s="23" t="s">
        <v>247</v>
      </c>
    </row>
    <row r="31" spans="1:6" ht="17" customHeight="1" x14ac:dyDescent="0.35">
      <c r="A31" s="2" t="s">
        <v>248</v>
      </c>
      <c r="B31" s="7">
        <v>1479.5</v>
      </c>
      <c r="C31" s="7">
        <v>1314.73</v>
      </c>
      <c r="D31" s="10">
        <f t="shared" si="2"/>
        <v>0.12532611258585402</v>
      </c>
      <c r="E31" s="14"/>
      <c r="F31" s="24"/>
    </row>
    <row r="32" spans="1:6" ht="17" customHeight="1" x14ac:dyDescent="0.35">
      <c r="A32" s="11" t="s">
        <v>228</v>
      </c>
      <c r="B32" s="12">
        <v>8179.5</v>
      </c>
      <c r="C32" s="12">
        <v>7184.73</v>
      </c>
      <c r="D32" s="21">
        <f t="shared" si="2"/>
        <v>0.13845614240201098</v>
      </c>
      <c r="E32" s="13"/>
      <c r="F32" s="25" t="s">
        <v>229</v>
      </c>
    </row>
  </sheetData>
  <mergeCells count="5">
    <mergeCell ref="A1:F1"/>
    <mergeCell ref="A12:F12"/>
    <mergeCell ref="A18:F18"/>
    <mergeCell ref="A3:F3"/>
    <mergeCell ref="A25:F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sqref="A1:F1"/>
    </sheetView>
  </sheetViews>
  <sheetFormatPr defaultRowHeight="14.5" x14ac:dyDescent="0.35"/>
  <cols>
    <col min="1" max="1" width="32" customWidth="1"/>
    <col min="2" max="5" width="16" customWidth="1"/>
    <col min="6" max="6" width="22" customWidth="1"/>
  </cols>
  <sheetData>
    <row r="1" spans="1:6" ht="32" customHeight="1" x14ac:dyDescent="0.35">
      <c r="A1" s="32" t="s">
        <v>249</v>
      </c>
      <c r="B1" s="31"/>
      <c r="C1" s="31"/>
      <c r="D1" s="31"/>
      <c r="E1" s="31"/>
      <c r="F1" s="31"/>
    </row>
    <row r="2" spans="1:6" ht="20" customHeight="1" x14ac:dyDescent="0.35">
      <c r="A2" s="3" t="s">
        <v>250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251</v>
      </c>
    </row>
    <row r="3" spans="1:6" ht="18" customHeight="1" x14ac:dyDescent="0.35">
      <c r="A3" s="30" t="s">
        <v>252</v>
      </c>
      <c r="B3" s="31"/>
      <c r="C3" s="31"/>
      <c r="D3" s="31"/>
      <c r="E3" s="31"/>
      <c r="F3" s="31"/>
    </row>
    <row r="4" spans="1:6" ht="18" customHeight="1" x14ac:dyDescent="0.35">
      <c r="A4" s="26" t="s">
        <v>253</v>
      </c>
      <c r="B4" s="27">
        <v>59745.56</v>
      </c>
      <c r="C4" s="27">
        <v>14709.41</v>
      </c>
      <c r="D4" s="27">
        <v>51193</v>
      </c>
      <c r="E4" s="27">
        <v>8179.5</v>
      </c>
      <c r="F4" s="28" t="s">
        <v>254</v>
      </c>
    </row>
    <row r="5" spans="1:6" ht="18" customHeight="1" x14ac:dyDescent="0.35">
      <c r="A5" s="26" t="s">
        <v>255</v>
      </c>
      <c r="B5" s="29">
        <v>0.23119999999999999</v>
      </c>
      <c r="C5" s="29">
        <v>0.1012</v>
      </c>
      <c r="D5" s="29">
        <v>0.1129</v>
      </c>
      <c r="E5" s="29">
        <v>0.13880000000000001</v>
      </c>
      <c r="F5" s="28" t="s">
        <v>256</v>
      </c>
    </row>
    <row r="6" spans="1:6" ht="18" customHeight="1" x14ac:dyDescent="0.35">
      <c r="A6" s="26" t="s">
        <v>32</v>
      </c>
      <c r="B6" s="27">
        <v>21481.68</v>
      </c>
      <c r="C6" s="27">
        <v>3554.78</v>
      </c>
      <c r="D6" s="27">
        <v>12798</v>
      </c>
      <c r="E6" s="27">
        <v>2074.6999999999998</v>
      </c>
      <c r="F6" s="28" t="s">
        <v>257</v>
      </c>
    </row>
    <row r="7" spans="1:6" ht="18" customHeight="1" x14ac:dyDescent="0.35">
      <c r="A7" s="26" t="s">
        <v>34</v>
      </c>
      <c r="B7" s="29">
        <v>0.35959999999999998</v>
      </c>
      <c r="C7" s="29">
        <v>0.2419</v>
      </c>
      <c r="D7" s="29">
        <v>0.24990000000000001</v>
      </c>
      <c r="E7" s="29">
        <v>0.25369999999999998</v>
      </c>
      <c r="F7" s="28" t="s">
        <v>35</v>
      </c>
    </row>
    <row r="8" spans="1:6" ht="18" customHeight="1" x14ac:dyDescent="0.35">
      <c r="A8" s="26" t="s">
        <v>180</v>
      </c>
      <c r="B8" s="27">
        <v>15057.83</v>
      </c>
      <c r="C8" s="27">
        <v>2144.86</v>
      </c>
      <c r="D8" s="27">
        <v>8818</v>
      </c>
      <c r="E8" s="27">
        <v>1432.93</v>
      </c>
      <c r="F8" s="28"/>
    </row>
    <row r="9" spans="1:6" ht="18" customHeight="1" x14ac:dyDescent="0.35">
      <c r="A9" s="26" t="s">
        <v>38</v>
      </c>
      <c r="B9" s="29">
        <v>0.25209999999999999</v>
      </c>
      <c r="C9" s="29">
        <v>0.1459</v>
      </c>
      <c r="D9" s="29">
        <v>0.17230000000000001</v>
      </c>
      <c r="E9" s="29">
        <v>0.17519999999999999</v>
      </c>
      <c r="F9" s="28" t="s">
        <v>39</v>
      </c>
    </row>
    <row r="10" spans="1:6" ht="18" customHeight="1" x14ac:dyDescent="0.35">
      <c r="A10" s="26" t="s">
        <v>55</v>
      </c>
      <c r="B10" s="29">
        <v>0.24529999999999999</v>
      </c>
      <c r="C10" s="29">
        <v>1.0449999999999999</v>
      </c>
      <c r="D10" s="29">
        <v>0.18079999999999999</v>
      </c>
      <c r="E10" s="29">
        <v>0.24429999999999999</v>
      </c>
      <c r="F10" s="28" t="s">
        <v>56</v>
      </c>
    </row>
    <row r="11" spans="1:6" ht="18" customHeight="1" x14ac:dyDescent="0.35">
      <c r="A11" s="26" t="s">
        <v>258</v>
      </c>
      <c r="B11" s="29">
        <v>0.20050000000000001</v>
      </c>
      <c r="C11" s="29">
        <v>0.26129999999999998</v>
      </c>
      <c r="D11" s="29">
        <v>0.12640000000000001</v>
      </c>
      <c r="E11" s="29">
        <v>0.1668</v>
      </c>
      <c r="F11" s="28" t="s">
        <v>259</v>
      </c>
    </row>
    <row r="12" spans="1:6" ht="18" customHeight="1" x14ac:dyDescent="0.35">
      <c r="A12" s="30" t="s">
        <v>260</v>
      </c>
      <c r="B12" s="31"/>
      <c r="C12" s="31"/>
      <c r="D12" s="31"/>
      <c r="E12" s="31"/>
      <c r="F12" s="31"/>
    </row>
    <row r="13" spans="1:6" ht="18" customHeight="1" x14ac:dyDescent="0.35">
      <c r="A13" s="2" t="s">
        <v>59</v>
      </c>
      <c r="B13" s="7">
        <v>2.7</v>
      </c>
      <c r="C13" s="10">
        <v>1.05</v>
      </c>
      <c r="D13" s="10">
        <v>1.34</v>
      </c>
      <c r="E13" s="10">
        <v>1.1399999999999999</v>
      </c>
      <c r="F13" s="24" t="s">
        <v>60</v>
      </c>
    </row>
    <row r="14" spans="1:6" ht="18" customHeight="1" x14ac:dyDescent="0.35">
      <c r="A14" s="4" t="s">
        <v>47</v>
      </c>
      <c r="B14" s="5">
        <v>184.97</v>
      </c>
      <c r="C14" s="5">
        <v>718.53</v>
      </c>
      <c r="D14" s="5">
        <v>988</v>
      </c>
      <c r="E14" s="5">
        <v>10.47</v>
      </c>
      <c r="F14" s="23"/>
    </row>
    <row r="15" spans="1:6" ht="18" customHeight="1" x14ac:dyDescent="0.35">
      <c r="A15" s="2" t="s">
        <v>261</v>
      </c>
      <c r="B15" s="7">
        <v>14807.79</v>
      </c>
      <c r="C15" s="7">
        <v>2271.4</v>
      </c>
      <c r="D15" s="7">
        <v>11684</v>
      </c>
      <c r="E15" s="7">
        <v>1765.32</v>
      </c>
      <c r="F15" s="24"/>
    </row>
    <row r="16" spans="1:6" ht="18" customHeight="1" x14ac:dyDescent="0.35">
      <c r="A16" s="26" t="s">
        <v>262</v>
      </c>
      <c r="B16" s="29">
        <v>0.98340000000000005</v>
      </c>
      <c r="C16" s="29">
        <v>1.0590999999999999</v>
      </c>
      <c r="D16" s="29">
        <v>1.3250999999999999</v>
      </c>
      <c r="E16" s="29">
        <v>1.232</v>
      </c>
      <c r="F16" s="28" t="s">
        <v>263</v>
      </c>
    </row>
    <row r="17" spans="1:6" ht="18" customHeight="1" x14ac:dyDescent="0.35">
      <c r="A17" s="30" t="s">
        <v>264</v>
      </c>
      <c r="B17" s="31"/>
      <c r="C17" s="31"/>
      <c r="D17" s="31"/>
      <c r="E17" s="31"/>
      <c r="F17" s="31"/>
    </row>
    <row r="18" spans="1:6" ht="18" customHeight="1" x14ac:dyDescent="0.35">
      <c r="A18" s="4" t="s">
        <v>265</v>
      </c>
      <c r="B18" s="5">
        <v>5.91</v>
      </c>
      <c r="C18" s="5">
        <v>9.3000000000000007</v>
      </c>
      <c r="D18" s="5">
        <v>13.16</v>
      </c>
      <c r="E18" s="5">
        <v>6.61</v>
      </c>
      <c r="F18" s="23" t="s">
        <v>266</v>
      </c>
    </row>
    <row r="19" spans="1:6" ht="18" customHeight="1" x14ac:dyDescent="0.35">
      <c r="A19" s="2" t="s">
        <v>267</v>
      </c>
      <c r="B19" s="7">
        <v>30.59</v>
      </c>
      <c r="C19" s="7">
        <v>88.98</v>
      </c>
      <c r="D19" s="7">
        <v>26.49</v>
      </c>
      <c r="E19" s="7">
        <v>18</v>
      </c>
      <c r="F19" s="24" t="s">
        <v>268</v>
      </c>
    </row>
    <row r="20" spans="1:6" ht="18" customHeight="1" x14ac:dyDescent="0.35">
      <c r="A20" s="4" t="s">
        <v>269</v>
      </c>
      <c r="B20" s="5">
        <v>0.81</v>
      </c>
      <c r="C20" s="5">
        <v>1.79</v>
      </c>
      <c r="D20" s="5">
        <v>0.73</v>
      </c>
      <c r="E20" s="5">
        <v>0.95</v>
      </c>
      <c r="F20" s="23" t="s">
        <v>270</v>
      </c>
    </row>
    <row r="21" spans="1:6" ht="18" customHeight="1" x14ac:dyDescent="0.35">
      <c r="A21" s="30" t="s">
        <v>271</v>
      </c>
      <c r="B21" s="31"/>
      <c r="C21" s="31"/>
      <c r="D21" s="31"/>
      <c r="E21" s="31"/>
      <c r="F21" s="31"/>
    </row>
    <row r="22" spans="1:6" ht="18" customHeight="1" x14ac:dyDescent="0.35">
      <c r="A22" s="4" t="s">
        <v>57</v>
      </c>
      <c r="B22" s="18">
        <v>1E-4</v>
      </c>
      <c r="C22" s="18">
        <v>1.32E-2</v>
      </c>
      <c r="D22" s="5">
        <v>0</v>
      </c>
      <c r="E22" s="18">
        <v>8.7099999999999997E-2</v>
      </c>
      <c r="F22" s="23" t="s">
        <v>58</v>
      </c>
    </row>
    <row r="23" spans="1:6" ht="18" customHeight="1" x14ac:dyDescent="0.35">
      <c r="A23" s="2" t="s">
        <v>272</v>
      </c>
      <c r="B23" s="7">
        <v>472.48</v>
      </c>
      <c r="C23" s="7">
        <v>15.63</v>
      </c>
      <c r="D23" s="7">
        <v>119.99</v>
      </c>
      <c r="E23" s="7">
        <v>101.61</v>
      </c>
      <c r="F23" s="24" t="s">
        <v>273</v>
      </c>
    </row>
    <row r="24" spans="1:6" ht="18" customHeight="1" x14ac:dyDescent="0.35">
      <c r="A24" s="30" t="s">
        <v>274</v>
      </c>
      <c r="B24" s="31"/>
      <c r="C24" s="31"/>
      <c r="D24" s="31"/>
      <c r="E24" s="31"/>
      <c r="F24" s="31"/>
    </row>
    <row r="25" spans="1:6" ht="18" customHeight="1" x14ac:dyDescent="0.35">
      <c r="A25" s="26" t="s">
        <v>40</v>
      </c>
      <c r="B25" s="27">
        <v>12.22</v>
      </c>
      <c r="C25" s="27">
        <v>222.5</v>
      </c>
      <c r="D25" s="27">
        <v>37.53</v>
      </c>
      <c r="E25" s="27">
        <v>8.11</v>
      </c>
      <c r="F25" s="28" t="s">
        <v>41</v>
      </c>
    </row>
    <row r="26" spans="1:6" ht="18" customHeight="1" x14ac:dyDescent="0.35">
      <c r="A26" s="4" t="s">
        <v>275</v>
      </c>
      <c r="B26" s="5">
        <v>11.5</v>
      </c>
      <c r="C26" s="5">
        <v>200</v>
      </c>
      <c r="D26" s="5">
        <v>34</v>
      </c>
      <c r="E26" s="5">
        <v>5</v>
      </c>
      <c r="F26" s="23" t="s">
        <v>276</v>
      </c>
    </row>
    <row r="27" spans="1:6" ht="18" customHeight="1" x14ac:dyDescent="0.35">
      <c r="A27" s="2" t="s">
        <v>277</v>
      </c>
      <c r="B27" s="10">
        <v>0.94110000000000005</v>
      </c>
      <c r="C27" s="10">
        <v>0.89890000000000003</v>
      </c>
      <c r="D27" s="10">
        <v>0.90600000000000003</v>
      </c>
      <c r="E27" s="10">
        <v>0.61639999999999995</v>
      </c>
      <c r="F27" s="24" t="s">
        <v>278</v>
      </c>
    </row>
  </sheetData>
  <mergeCells count="6">
    <mergeCell ref="A24:F24"/>
    <mergeCell ref="A1:F1"/>
    <mergeCell ref="A17:F17"/>
    <mergeCell ref="A12:F12"/>
    <mergeCell ref="A3:F3"/>
    <mergeCell ref="A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Peer_Summary</vt:lpstr>
      <vt:lpstr>ITC_Financials</vt:lpstr>
      <vt:lpstr>Nestle_Financials</vt:lpstr>
      <vt:lpstr>HUL_Financials</vt:lpstr>
      <vt:lpstr>Dabur_Financials</vt:lpstr>
      <vt:lpstr>Segment_Analysis</vt:lpstr>
      <vt:lpstr>Key_Ratios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Bidisha Ghosal 311864</cp:lastModifiedBy>
  <dcterms:created xsi:type="dcterms:W3CDTF">2026-04-13T07:22:01Z</dcterms:created>
  <dcterms:modified xsi:type="dcterms:W3CDTF">2026-04-14T07:39:57Z</dcterms:modified>
</cp:coreProperties>
</file>